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jacquemare\OneDrive\ETML - FPA 2013-2015\TPI\Documents\"/>
    </mc:Choice>
  </mc:AlternateContent>
  <bookViews>
    <workbookView xWindow="3675" yWindow="1965" windowWidth="12525" windowHeight="7410" activeTab="7"/>
  </bookViews>
  <sheets>
    <sheet name="Donnees" sheetId="7" r:id="rId1"/>
    <sheet name="Diagramme" sheetId="159" r:id="rId2"/>
    <sheet name="DiagramHeader" sheetId="10" state="hidden" r:id="rId3"/>
    <sheet name="DiagramFooter" sheetId="130" state="hidden" r:id="rId4"/>
    <sheet name="PlanificationWeek" sheetId="11" state="hidden" r:id="rId5"/>
    <sheet name="Planning" sheetId="160" r:id="rId6"/>
    <sheet name="achievementWeek" sheetId="154" state="hidden" r:id="rId7"/>
    <sheet name="JNLTRAV" sheetId="161" r:id="rId8"/>
  </sheets>
  <definedNames>
    <definedName name="_Toc165969654" localSheetId="7">JNLTRAV!$C$68</definedName>
    <definedName name="datDateBegin">Donnees!$C$9</definedName>
    <definedName name="ListTasks">Diagramme!$B$3:$B$46</definedName>
    <definedName name="lstTasks">Donnees!$C$20:$C$45</definedName>
    <definedName name="NbLessons">Diagramme!$C$3:$C$46</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Diagramme!$A$1:$TX$49</definedName>
    <definedName name="_xlnm.Print_Area" localSheetId="0">Donnees!$A$1:$G$54</definedName>
    <definedName name="_xlnm.Print_Area" localSheetId="7">JNLTRAV!$A$1:$D$96</definedName>
    <definedName name="_xlnm.Print_Area" localSheetId="5">Planning!$A$1:$D$69</definedName>
  </definedNames>
  <calcPr calcId="15251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5" i="161" l="1"/>
  <c r="B76" i="161"/>
  <c r="B57" i="161"/>
  <c r="B38" i="161"/>
  <c r="B18" i="161"/>
  <c r="B68" i="160"/>
  <c r="B54" i="160"/>
  <c r="B41" i="160"/>
  <c r="B27" i="160"/>
  <c r="B13" i="160"/>
  <c r="B45" i="159"/>
  <c r="B43" i="159"/>
  <c r="B41" i="159"/>
  <c r="B39" i="159"/>
  <c r="B37" i="159"/>
  <c r="B35" i="159"/>
  <c r="B33" i="159"/>
  <c r="B31" i="159"/>
  <c r="B29" i="159"/>
  <c r="B27" i="159"/>
  <c r="B25" i="159"/>
  <c r="B23" i="159"/>
  <c r="B21" i="159"/>
  <c r="B19" i="159"/>
  <c r="B17" i="159"/>
  <c r="B15" i="159"/>
  <c r="B13" i="159"/>
  <c r="B11" i="159"/>
  <c r="B9" i="159"/>
  <c r="B7" i="159"/>
  <c r="B5" i="159"/>
  <c r="C48" i="159"/>
  <c r="C47" i="159"/>
  <c r="B18" i="154" l="1"/>
  <c r="B13" i="11"/>
</calcChain>
</file>

<file path=xl/sharedStrings.xml><?xml version="1.0" encoding="utf-8"?>
<sst xmlns="http://schemas.openxmlformats.org/spreadsheetml/2006/main" count="339" uniqueCount="143">
  <si>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</si>
  <si>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</si>
  <si>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</si>
  <si>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</si>
  <si>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</si>
  <si>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</si>
  <si>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</si>
  <si>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</si>
  <si>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</si>
  <si>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</si>
  <si>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</si>
  <si>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</si>
  <si>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</si>
  <si>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</si>
  <si>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</si>
  <si>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</si>
  <si>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</si>
  <si>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</si>
  <si>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</si>
  <si>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</si>
  <si>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</si>
  <si>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</si>
  <si>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</si>
  <si>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</si>
  <si>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</si>
  <si>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Rémi Jacquemard</t>
  </si>
  <si>
    <t>FIN2</t>
  </si>
  <si>
    <t>ETML - Lausanne</t>
  </si>
  <si>
    <t>Planification du projet</t>
  </si>
  <si>
    <t>Information</t>
  </si>
  <si>
    <t>Analyse - Tutoriel</t>
  </si>
  <si>
    <t>Prise de connaissance du projet</t>
  </si>
  <si>
    <t>Décision - Tutoriel</t>
  </si>
  <si>
    <t>Analyse - Projets</t>
  </si>
  <si>
    <t>Décision - Projets</t>
  </si>
  <si>
    <t>Réalisation/Documentation - Tutoriel</t>
  </si>
  <si>
    <t>Documentation</t>
  </si>
  <si>
    <t>Analyse - Tutoriel : Structure</t>
  </si>
  <si>
    <t>Analyse - Tutoriel : Difficulté du code</t>
  </si>
  <si>
    <t>Analyse - Projets : Diagramme de classe</t>
  </si>
  <si>
    <t>Analyse - Projets : Technologie de l'API à utiliser</t>
  </si>
  <si>
    <t>Analyse - Projets : Fonctionnalités</t>
  </si>
  <si>
    <t>Réalisation/Documentation - Tutoriel : Design</t>
  </si>
  <si>
    <t>Réalisation/Documentation - Tutoriel : Structure</t>
  </si>
  <si>
    <t>Réalisation/Documentation - Tutoriel : Contenu</t>
  </si>
  <si>
    <t>Réalisation - Développement : Kinect PowerPoint</t>
  </si>
  <si>
    <t>Réalisation - Développement : Kinect Draw</t>
  </si>
  <si>
    <t>Réalisation - Développement : Kinect Ball</t>
  </si>
  <si>
    <t>Evaluation</t>
  </si>
  <si>
    <t>S 1</t>
  </si>
  <si>
    <t>S 2</t>
  </si>
  <si>
    <t>S 3</t>
  </si>
  <si>
    <t>S 4</t>
  </si>
  <si>
    <t>STOP</t>
  </si>
  <si>
    <t>S 5</t>
  </si>
  <si>
    <t>Du 1er au 5 juin 2015</t>
  </si>
  <si>
    <t>Du 25 au 29 mai 2015</t>
  </si>
  <si>
    <t>Du 11 au 15 mai 2015</t>
  </si>
  <si>
    <t>Travail uniquement le lundi</t>
  </si>
  <si>
    <t>Ascension + Pont (14-15 mai)</t>
  </si>
  <si>
    <t>Recevoir le cahier des charges, recontre avec les experts, discussion et questions</t>
  </si>
  <si>
    <t>Max. 108</t>
  </si>
  <si>
    <t>Créer le rapport de projet initial</t>
  </si>
  <si>
    <t>Recherche des différentes structures possibles</t>
  </si>
  <si>
    <t>Choix de la structure</t>
  </si>
  <si>
    <t>Création du tutoriel</t>
  </si>
  <si>
    <t>Création du design de base du tutoriel</t>
  </si>
  <si>
    <t>Recherche du bon niveau de code en fonction du public cible</t>
  </si>
  <si>
    <t>Mise à jour du rapport de projet avec les infos trouvées</t>
  </si>
  <si>
    <t>Historique Kinect et fonctionnement, hardware requis</t>
  </si>
  <si>
    <t>Hardware requis pour développer</t>
  </si>
  <si>
    <t>Mettre en place l'environnement de travail</t>
  </si>
  <si>
    <t>Historique et description du fonctionnement kinect, présentation des "frames" kinect pour aider à la compréhension</t>
  </si>
  <si>
    <t xml:space="preserve">[Kinect Draw] [Reprise du code déjà créé] Création d'un diagramme des classes propres. </t>
  </si>
  <si>
    <t>Mise à jour du code pour correspondre au mieux aux normes de l'etml, pour le besoin du tuto, etc…</t>
  </si>
  <si>
    <t>Présentation de l'utilisation de l'API en C#</t>
  </si>
  <si>
    <t>Mise à jour de la documentation du projet en fonction des problèmes rencontrés, etc…</t>
  </si>
  <si>
    <t>Du 18 au 22 mai 2015</t>
  </si>
  <si>
    <t>Le lundi 8 juin 2015</t>
  </si>
  <si>
    <t>Pentecôte du lundi 25 mai</t>
  </si>
  <si>
    <t xml:space="preserve">Projet [Kinect Draw] Dessin simplifié
La classe KinectCoreWindow
</t>
  </si>
  <si>
    <t>Finalisation du tutoriel</t>
  </si>
  <si>
    <t>Finalisation de la documentation de projet</t>
  </si>
  <si>
    <t>Retour sur projet, vérification des choses effectuées et petits changements si nécessaire, impression des documents, etc…</t>
  </si>
  <si>
    <t>Pont de l'ascension</t>
  </si>
  <si>
    <t xml:space="preserve">Création du planning du projet sur la base du cahier des charges. Le code déjà effectué a été prise en compte. </t>
  </si>
  <si>
    <t>Création du rapport de projet initial
Page de garde, planning, faisabilité (projets d'avant tpi, compétences supplémentaires à acquérir)</t>
  </si>
  <si>
    <t>Recherche des points à apparaître dans le tutoriel</t>
  </si>
  <si>
    <t>[12.05] Analyse des différents chapitres qui seront présent dans le tutoriel. Le choix de fournir un code de base à l'utilisateur a été fait, après discussion avec M. Chenaux</t>
  </si>
  <si>
    <t>[11.05] Réception du cahier des charges, recontre avec les experts, discussion et questions</t>
  </si>
  <si>
    <t>Création du tutoriel au format Word. Premier jet de design. Création des titres tels que définis dans l'analyse.</t>
  </si>
  <si>
    <t>Mise à jour de la documentation concernant le planning (Ajout d'informations quant à la durée planifiée sur la rédaction du tutoriel)</t>
  </si>
  <si>
    <t>Introduction (qu'est-ce que Kinect, les 2 versions, historique, shéma, intégration d'images + sources) 
Design à Revoir !</t>
  </si>
  <si>
    <t>Dossier de réalisation: création du tableau et mise à jour des différents éléments</t>
  </si>
  <si>
    <t>[13.05] Introduction: à qui se destine ce tutoriel ?
Mise en place du poste de travail: Composants et logiciels nécessaire, Installation du SDK
(+3 quart d'heure, temps disponible lors de la scéance de classe)</t>
  </si>
  <si>
    <t>Découverte de l'API
Les capteurs de Kinect, Audio Source, BodyFrameSource</t>
  </si>
  <si>
    <t>Découverte de l'API
Création du schéma montrant les frames avec BodyFrameSource
Modification du type de schéma de l'historique de Kinect
Description des frames</t>
  </si>
  <si>
    <t>[18.05]Réctification des légendes de figures pour inclure le numéro de chapitre
Divers petites modifications de contenu
Installation du SDK, Connecter Kinect au PC et Vérifier le bon fonctionnement (terminé)</t>
  </si>
  <si>
    <t>[19.05]Découverte de l'API
Toutes les datasources terminées</t>
  </si>
  <si>
    <t>Ajout des informations par rapport au nombre de personnes max et de l'engagement au chapitre 3
La fonction source de Word n'est plus utilisée + mise à jour du rapport et de la doc</t>
  </si>
  <si>
    <t>Mise à jour de la partie réalisation
Ajout à la rubrique Modification du choix qu'il a été fait de ne pas utiliser la fonctionnalité source de Word</t>
  </si>
  <si>
    <t>[20.05] Ajout de quelques normes de l'ETML dans la partie "A qui se destine ce tutoriel"</t>
  </si>
  <si>
    <t>[21.05]Kinect Draw, description du projet, structure et design fait, début de l'introduction aux applis Windows 8.1</t>
  </si>
  <si>
    <t>Discussion avec le chef de projet sur le timing + questions
Rencontre prévue au lendemain</t>
  </si>
  <si>
    <t>Mise en forme du code au propre, création d'une classe CurseurPosition qui fait le lien entre l'interface graphique et le code pour la position du curseur, commentaire plus explicite pour le tutoriel
(+3 quart d'heure, temps disponible lors de la scéance de classe)</t>
  </si>
  <si>
    <t>Introduction à la structure de l'appli + design des instructions pour une meilleure différenciation</t>
  </si>
  <si>
    <t>Création des styles pour le code</t>
  </si>
  <si>
    <t>[22.05] Recherche de modification du CDC pour discussion avec le chef de projet</t>
  </si>
  <si>
    <t>Rédaction des tests et dossier de tests, mise à jour avec la relacture de Nicolas Salvadore</t>
  </si>
  <si>
    <t>Planing Initial V1</t>
  </si>
  <si>
    <t>Remarque: à partir d'ici, le planning a été modifié pour faire correspondre à la version 2</t>
  </si>
  <si>
    <t>Projet [Kinect Draw] Dessin simplifié
La classe KinectCoreWindow
Piste sur le développement
Mise à jour de la documentation du projet en fonction des problèesm rencontrés, etc…</t>
  </si>
  <si>
    <t xml:space="preserve">Projet [Kinect Powerpoint] Le concept pour changer les slides avec un mouvement + curseur qui s'affiche.
Les événements sont déjà dans le code
</t>
  </si>
  <si>
    <t>Préparation des dossiers, cds, archives, arborescence de fichier pour le tutoriel + vérification</t>
  </si>
  <si>
    <t>Discussion avec le chef de projet sur le timing
Des choix ont été fait sur la réduction du cahier des charges (cf. rapport de projet)
Rédaction du rapport de projet pour mettre à jour le CdC + ajout du CdC initial
Création du planning V2</t>
  </si>
  <si>
    <t>Mise à jour du planning dans le rapport de projet et explication</t>
  </si>
  <si>
    <t>Pentecôte du lundi 25.05.2015</t>
  </si>
  <si>
    <t xml:space="preserve">[26.05]Fin de l'intro à la structure de ce projet Windows 8.1
KinectCoreWindow: description de cette classe, description du point récupéré
</t>
  </si>
  <si>
    <t xml:space="preserve">KinectCoreWindow: Création du schéma de la PHIZ et réctification
Sous-chapitre "développement et conseil", rédaction de "commencer le projet" et début de "gérer les événements"
</t>
  </si>
  <si>
    <t>[27.05]Fin du sous-chapitre "développement et conseil"
Sous-chapitre correction terminé
Rôle du tutoriel, chapitre introduction</t>
  </si>
  <si>
    <t>Petites modifications apportées au rapport de projet : 
 - design
(+3 quart d'heure, temps disponible lors de la scéance de classe)</t>
  </si>
  <si>
    <t>[28.05]Debug pour version release du projet</t>
  </si>
  <si>
    <t>Kinect PowerPoint : Description du projet
- Création du schéma de changement de slide</t>
  </si>
  <si>
    <t>Recontre avec l'expert M. Wenger. Quelques points ont été discuté concernant le rapport et la présentation, et la finalisation du TPI
- le rapport de projet reste à étoffer, intégrer des cfs pour l'analyse des projets dans le rapport
- un mail doit être envoyé le 8 juin avec le rapport
- la présentation sera le vendredi 19 juin, aux alentours de 12h00</t>
  </si>
  <si>
    <t>Description du projet PowerPoint</t>
  </si>
  <si>
    <t xml:space="preserve">Mise à jour du code pour le projet final abordé dans le tuto :
- Suppression du rubban du complément du projet de base
- Suppression du pointeur
- Suppression de l'option de modifier les transitions des slides, les transitions des slides ne sont pas modifiées
- Ajout de commentaire plus précis et de commentaire xml
Mise à jour du code pour le projet de base
</t>
  </si>
  <si>
    <t xml:space="preserve">Rédaction du chapitre "mise en place et pré-requis"
Début de "structure de l'add-in"
</t>
  </si>
  <si>
    <t>[29.05] Rédaction du chapitre "structure et principe du projet"
- Création du schéma de l'application
- Description du principe du projet
Rédaction du chapitre Visual Gesture Builder
- Création du schéma</t>
  </si>
  <si>
    <t>Rédaction du chapitre Visual Gesture Builder
- Explication des étapes nécessaires pour détecter un geste + schéma
- Description des deux fichiers (.xef et .gbd)
- Description de Kinect Studio
- Description du logiciel Visual Gesture Builder
- Les deux technologies de détection de geste</t>
  </si>
  <si>
    <t>Mise à jour JdT, envoi mail, etc…</t>
  </si>
  <si>
    <t>[01.06] Rédaction du chapitre VisualGestureBuilder
- Schéma de l'événement, du contenu d'une builder frame, de la timeline de frame, du nombre de VisualGestureSource
- Rédaction du contenu d'une une builderFrame, de l'utilisation des types de gestures, etc...
- Schéma "Principe de la détection de mouvement dans le projet"</t>
  </si>
  <si>
    <t>Rédaction et fin de "5.5 Principe de la détection de mouvement dans le projet"</t>
  </si>
  <si>
    <t>[02.06] Rédaction de "5.6 Introduction au développement de cet add-in PowerPoint", capture d'écran, déploiement d'add-in office, commencer le projet</t>
  </si>
  <si>
    <t>Rédaction de l'entier du chapitre "5.7 Développement et conseils" :
- Commencer le projet
- Récupérer les frames des datasources
- Implémenter la détection de mouvement 
- Détecter les mouvements
Rédaction de "5.8 Correction"</t>
  </si>
  <si>
    <t>[03.06] 
 - Rédaction entière de "5.9 Le concept de l’ajout du pointeur"
(+3 quart d'heure, temps disponible lors de la scéance de classe)
- Rédaction de "7 Pour aller plus loin…"</t>
  </si>
  <si>
    <t>Mise à jour du rapport (partie réalisation: design, structure, images, légendes, sources, archive fournie, normes de codage, création de styles)
(+6 quart d'heure, travail à la maison)</t>
  </si>
  <si>
    <t>[04.06] Partie réalisation
- 4.1.9 Points relatifs aux projets</t>
  </si>
  <si>
    <t>Rédaction de "Bilan des fonctionnalités demandées"</t>
  </si>
  <si>
    <t>Fin de rédaction de la conclusion (bilan fonctionnalités, planning et personnel)</t>
  </si>
  <si>
    <t>Rédaction des remerciements</t>
  </si>
  <si>
    <t>Rédaction du bilan de la planification</t>
  </si>
  <si>
    <t>Rédaction de "4.1.9 Points relatifs aux projets" de la réalisation</t>
  </si>
  <si>
    <t>Finalisation de la documentation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</si>
</sst>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
      <patternFill patternType="solid">
        <fgColor theme="0" tint="-0.34998626667073579"/>
        <bgColor indexed="64"/>
      </patternFill>
    </fill>
  </fills>
  <borders count="5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0" fillId="17" borderId="1" xfId="1" applyFont="1" applyFill="1" applyBorder="1" applyAlignment="1" applyProtection="1">
      <alignment horizontal="center" vertical="center" wrapText="1"/>
      <protection locked="0"/>
    </xf>
    <xf numFmtId="0" fontId="10" fillId="17" borderId="1" xfId="0" applyFont="1" applyFill="1" applyBorder="1" applyAlignment="1" applyProtection="1">
      <alignment horizontal="center" vertical="center" wrapText="1"/>
      <protection locked="0"/>
    </xf>
    <xf numFmtId="0" fontId="10" fillId="17" borderId="1" xfId="0" applyFont="1" applyFill="1" applyBorder="1" applyAlignment="1" applyProtection="1">
      <alignment horizontal="left" vertical="top" wrapText="1"/>
      <protection locked="0"/>
    </xf>
    <xf numFmtId="0" fontId="10" fillId="17" borderId="2" xfId="1" applyFont="1" applyFill="1" applyBorder="1" applyAlignment="1" applyProtection="1">
      <alignment horizontal="center" vertical="center" wrapText="1"/>
      <protection locked="0"/>
    </xf>
    <xf numFmtId="0" fontId="10" fillId="17" borderId="2" xfId="0" applyFont="1" applyFill="1" applyBorder="1" applyAlignment="1" applyProtection="1">
      <alignment horizontal="center" vertical="center" wrapText="1"/>
      <protection locked="0"/>
    </xf>
    <xf numFmtId="0" fontId="10" fillId="17" borderId="2" xfId="0" applyFont="1" applyFill="1" applyBorder="1" applyAlignment="1" applyProtection="1">
      <alignment horizontal="left" vertical="top" wrapText="1"/>
      <protection locked="0"/>
    </xf>
    <xf numFmtId="0" fontId="10" fillId="17" borderId="3" xfId="0" applyFont="1" applyFill="1" applyBorder="1" applyAlignment="1" applyProtection="1">
      <alignment horizontal="center" vertical="center" wrapText="1"/>
      <protection locked="0"/>
    </xf>
    <xf numFmtId="0" fontId="10" fillId="17" borderId="3"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10" fillId="0" borderId="48" xfId="1" applyFont="1" applyFill="1" applyBorder="1" applyAlignment="1" applyProtection="1">
      <alignment horizontal="center" vertical="center"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16" fillId="6" borderId="35" xfId="0"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1" fontId="16" fillId="6" borderId="35" xfId="0" applyNumberFormat="1"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Planific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0177" name="btnImportRealisation"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5" zoomScaleNormal="100" workbookViewId="0">
      <selection activeCell="C12" sqref="C12"/>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33" t="s">
        <v>19</v>
      </c>
      <c r="C19" s="134"/>
      <c r="D19" s="37"/>
      <c r="E19" s="37"/>
      <c r="F19" s="37"/>
      <c r="G19" s="34"/>
    </row>
    <row r="20" spans="1:13" ht="19.5" x14ac:dyDescent="0.2">
      <c r="A20" s="52"/>
      <c r="B20" s="65" t="s">
        <v>20</v>
      </c>
      <c r="C20" s="69" t="s">
        <v>21</v>
      </c>
      <c r="D20" s="37"/>
      <c r="E20" s="37"/>
      <c r="F20" s="37"/>
      <c r="G20" s="34"/>
    </row>
    <row r="21" spans="1:13" ht="19.5" x14ac:dyDescent="0.2">
      <c r="A21" s="52"/>
      <c r="B21" s="65">
        <v>1</v>
      </c>
      <c r="C21" s="24" t="s">
        <v>31</v>
      </c>
      <c r="D21" s="37"/>
      <c r="E21" s="37"/>
      <c r="F21" s="37"/>
      <c r="G21" s="34"/>
    </row>
    <row r="22" spans="1:13" ht="19.5" x14ac:dyDescent="0.2">
      <c r="A22" s="52"/>
      <c r="B22" s="65">
        <v>2</v>
      </c>
      <c r="C22" s="24" t="s">
        <v>29</v>
      </c>
      <c r="D22" s="37"/>
      <c r="E22" s="37"/>
      <c r="F22" s="37"/>
      <c r="G22" s="34"/>
    </row>
    <row r="23" spans="1:13" ht="19.5" x14ac:dyDescent="0.2">
      <c r="A23" s="52"/>
      <c r="B23" s="66">
        <v>3</v>
      </c>
      <c r="C23" s="28" t="s">
        <v>28</v>
      </c>
      <c r="D23" s="37"/>
      <c r="E23" s="37"/>
      <c r="F23" s="37"/>
      <c r="G23" s="34"/>
    </row>
    <row r="24" spans="1:13" ht="19.5" x14ac:dyDescent="0.2">
      <c r="A24" s="52"/>
      <c r="B24" s="65">
        <v>4</v>
      </c>
      <c r="C24" s="28" t="s">
        <v>30</v>
      </c>
      <c r="D24" s="37"/>
      <c r="E24" s="37"/>
      <c r="F24" s="37"/>
      <c r="G24" s="34"/>
    </row>
    <row r="25" spans="1:13" ht="19.5" x14ac:dyDescent="0.2">
      <c r="A25" s="52"/>
      <c r="B25" s="65">
        <v>5</v>
      </c>
      <c r="C25" s="28" t="s">
        <v>37</v>
      </c>
      <c r="D25" s="37"/>
      <c r="E25" s="37"/>
      <c r="F25" s="37"/>
      <c r="G25" s="34"/>
    </row>
    <row r="26" spans="1:13" ht="19.5" x14ac:dyDescent="0.2">
      <c r="A26" s="52"/>
      <c r="B26" s="66">
        <v>6</v>
      </c>
      <c r="C26" s="28" t="s">
        <v>38</v>
      </c>
      <c r="D26" s="37"/>
      <c r="E26" s="37"/>
      <c r="F26" s="37"/>
      <c r="G26" s="34"/>
    </row>
    <row r="27" spans="1:13" ht="19.5" x14ac:dyDescent="0.2">
      <c r="A27" s="52"/>
      <c r="B27" s="65">
        <v>7</v>
      </c>
      <c r="C27" s="28" t="s">
        <v>33</v>
      </c>
      <c r="D27" s="37"/>
      <c r="E27" s="37"/>
      <c r="F27" s="37"/>
      <c r="G27" s="34"/>
    </row>
    <row r="28" spans="1:13" ht="19.5" x14ac:dyDescent="0.2">
      <c r="A28" s="52"/>
      <c r="B28" s="65">
        <v>8</v>
      </c>
      <c r="C28" s="27" t="s">
        <v>40</v>
      </c>
      <c r="D28" s="37"/>
      <c r="E28" s="37"/>
      <c r="F28" s="37"/>
      <c r="G28" s="34"/>
    </row>
    <row r="29" spans="1:13" ht="19.5" x14ac:dyDescent="0.2">
      <c r="A29" s="52"/>
      <c r="B29" s="66">
        <v>9</v>
      </c>
      <c r="C29" s="24" t="s">
        <v>39</v>
      </c>
      <c r="D29" s="37"/>
      <c r="E29" s="37"/>
      <c r="F29" s="37"/>
      <c r="G29" s="34"/>
    </row>
    <row r="30" spans="1:13" ht="19.5" x14ac:dyDescent="0.2">
      <c r="A30" s="52"/>
      <c r="B30" s="65">
        <v>10</v>
      </c>
      <c r="C30" s="28" t="s">
        <v>41</v>
      </c>
      <c r="D30" s="37"/>
      <c r="E30" s="37"/>
      <c r="F30" s="37"/>
      <c r="G30" s="34"/>
    </row>
    <row r="31" spans="1:13" ht="19.5" x14ac:dyDescent="0.2">
      <c r="A31" s="52"/>
      <c r="B31" s="65">
        <v>11</v>
      </c>
      <c r="C31" s="28" t="s">
        <v>32</v>
      </c>
      <c r="D31" s="37"/>
      <c r="E31" s="37"/>
      <c r="F31" s="37"/>
      <c r="G31" s="34"/>
      <c r="H31" s="1"/>
      <c r="I31" s="1"/>
      <c r="J31" s="1"/>
      <c r="K31" s="1"/>
      <c r="L31" s="1"/>
      <c r="M31" s="1"/>
    </row>
    <row r="32" spans="1:13" ht="19.5" x14ac:dyDescent="0.2">
      <c r="A32" s="52"/>
      <c r="B32" s="66">
        <v>12</v>
      </c>
      <c r="C32" s="28" t="s">
        <v>34</v>
      </c>
      <c r="D32" s="37"/>
      <c r="E32" s="37"/>
      <c r="F32" s="37"/>
      <c r="G32" s="34"/>
      <c r="H32" s="1"/>
      <c r="I32" s="1"/>
      <c r="J32" s="1"/>
      <c r="K32" s="1"/>
      <c r="L32" s="1"/>
      <c r="M32" s="1"/>
    </row>
    <row r="33" spans="1:13" ht="19.5" x14ac:dyDescent="0.2">
      <c r="A33" s="52"/>
      <c r="B33" s="65">
        <v>13</v>
      </c>
      <c r="C33" s="27" t="s">
        <v>35</v>
      </c>
      <c r="D33" s="37"/>
      <c r="E33" s="37"/>
      <c r="F33" s="37"/>
      <c r="G33" s="34"/>
      <c r="H33" s="1"/>
      <c r="I33" s="1"/>
      <c r="J33" s="1"/>
      <c r="K33" s="1"/>
      <c r="L33" s="1"/>
      <c r="M33" s="1"/>
    </row>
    <row r="34" spans="1:13" ht="19.5" x14ac:dyDescent="0.2">
      <c r="A34" s="52"/>
      <c r="B34" s="65">
        <v>14</v>
      </c>
      <c r="C34" s="27" t="s">
        <v>42</v>
      </c>
      <c r="D34" s="37"/>
      <c r="E34" s="37"/>
      <c r="F34" s="37"/>
      <c r="G34" s="34"/>
      <c r="H34" s="1"/>
      <c r="I34" s="1"/>
      <c r="J34" s="1"/>
      <c r="K34" s="1"/>
      <c r="L34" s="1"/>
      <c r="M34" s="1"/>
    </row>
    <row r="35" spans="1:13" ht="19.5" x14ac:dyDescent="0.2">
      <c r="A35" s="52"/>
      <c r="B35" s="66">
        <v>15</v>
      </c>
      <c r="C35" s="27" t="s">
        <v>43</v>
      </c>
      <c r="D35" s="37"/>
      <c r="E35" s="37"/>
      <c r="F35" s="37"/>
      <c r="G35" s="34"/>
      <c r="H35" s="1"/>
      <c r="I35" s="1"/>
      <c r="J35" s="1"/>
      <c r="K35" s="1"/>
      <c r="L35" s="1"/>
      <c r="M35" s="1"/>
    </row>
    <row r="36" spans="1:13" ht="19.5" x14ac:dyDescent="0.2">
      <c r="A36" s="52"/>
      <c r="B36" s="65">
        <v>16</v>
      </c>
      <c r="C36" s="27" t="s">
        <v>44</v>
      </c>
      <c r="D36" s="37"/>
      <c r="E36" s="37"/>
      <c r="F36" s="37"/>
      <c r="G36" s="34"/>
      <c r="H36" s="1"/>
      <c r="I36" s="1"/>
      <c r="J36" s="1"/>
      <c r="K36" s="1"/>
      <c r="L36" s="1"/>
      <c r="M36" s="1"/>
    </row>
    <row r="37" spans="1:13" ht="19.5" x14ac:dyDescent="0.2">
      <c r="A37" s="52"/>
      <c r="B37" s="65">
        <v>17</v>
      </c>
      <c r="C37" s="24" t="s">
        <v>46</v>
      </c>
      <c r="D37" s="37"/>
      <c r="E37" s="37"/>
      <c r="F37" s="37"/>
      <c r="G37" s="34"/>
      <c r="H37" s="1"/>
      <c r="I37" s="1"/>
      <c r="J37" s="1"/>
      <c r="K37" s="1"/>
      <c r="L37" s="1"/>
      <c r="M37" s="1"/>
    </row>
    <row r="38" spans="1:13" ht="19.5" x14ac:dyDescent="0.2">
      <c r="A38" s="52"/>
      <c r="B38" s="66">
        <v>18</v>
      </c>
      <c r="C38" s="24" t="s">
        <v>45</v>
      </c>
      <c r="D38" s="37"/>
      <c r="E38" s="37"/>
      <c r="F38" s="37"/>
      <c r="G38" s="34"/>
      <c r="H38" s="1"/>
      <c r="I38" s="1"/>
      <c r="J38" s="1"/>
      <c r="K38" s="1"/>
      <c r="L38" s="1"/>
      <c r="M38" s="1"/>
    </row>
    <row r="39" spans="1:13" ht="19.5" x14ac:dyDescent="0.2">
      <c r="A39" s="52"/>
      <c r="B39" s="65">
        <v>19</v>
      </c>
      <c r="C39" s="24" t="s">
        <v>47</v>
      </c>
      <c r="D39" s="37"/>
      <c r="E39" s="37"/>
      <c r="F39" s="37"/>
      <c r="G39" s="34"/>
      <c r="H39" s="1"/>
      <c r="I39" s="1"/>
      <c r="J39" s="1"/>
      <c r="K39" s="1"/>
      <c r="L39" s="1"/>
      <c r="M39" s="1"/>
    </row>
    <row r="40" spans="1:13" ht="19.5" x14ac:dyDescent="0.2">
      <c r="A40" s="52"/>
      <c r="B40" s="65">
        <v>20</v>
      </c>
      <c r="C40" s="28" t="s">
        <v>36</v>
      </c>
      <c r="D40" s="37"/>
      <c r="E40" s="37"/>
      <c r="F40" s="37"/>
      <c r="G40" s="34"/>
      <c r="H40" s="1"/>
      <c r="I40" s="1"/>
      <c r="J40" s="1"/>
      <c r="K40" s="1"/>
      <c r="L40" s="1"/>
      <c r="M40" s="1"/>
    </row>
    <row r="41" spans="1:13" ht="19.5" x14ac:dyDescent="0.2">
      <c r="A41" s="52"/>
      <c r="B41" s="66">
        <v>21</v>
      </c>
      <c r="C41" s="28" t="s">
        <v>48</v>
      </c>
      <c r="D41" s="37"/>
      <c r="E41" s="37"/>
      <c r="F41" s="37"/>
      <c r="G41" s="34"/>
      <c r="H41" s="1"/>
      <c r="I41" s="1"/>
      <c r="J41" s="1"/>
      <c r="K41" s="1"/>
      <c r="L41" s="1"/>
      <c r="M41" s="1"/>
    </row>
    <row r="42" spans="1:13" ht="19.5" x14ac:dyDescent="0.2">
      <c r="A42" s="52"/>
      <c r="B42" s="65">
        <v>22</v>
      </c>
      <c r="C42" s="27"/>
      <c r="D42" s="37"/>
      <c r="E42" s="37"/>
      <c r="F42" s="37"/>
      <c r="G42" s="34"/>
      <c r="H42" s="1"/>
      <c r="I42" s="1"/>
      <c r="J42" s="1"/>
      <c r="K42" s="1"/>
      <c r="L42" s="1"/>
      <c r="M42" s="1"/>
    </row>
    <row r="43" spans="1:13" ht="19.5" x14ac:dyDescent="0.2">
      <c r="A43" s="52"/>
      <c r="B43" s="65">
        <v>23</v>
      </c>
      <c r="C43" s="24"/>
      <c r="D43" s="37"/>
      <c r="E43" s="37"/>
      <c r="F43" s="37"/>
      <c r="G43" s="34"/>
      <c r="H43" s="1"/>
      <c r="I43" s="1"/>
      <c r="J43" s="1"/>
      <c r="K43" s="1"/>
      <c r="L43" s="1"/>
      <c r="M43" s="1"/>
    </row>
    <row r="44" spans="1:13" ht="19.5" x14ac:dyDescent="0.2">
      <c r="A44" s="52"/>
      <c r="B44" s="66">
        <v>24</v>
      </c>
      <c r="C44" s="28"/>
      <c r="D44" s="37"/>
      <c r="E44" s="37"/>
      <c r="F44" s="37"/>
      <c r="G44" s="34"/>
      <c r="H44" s="1"/>
      <c r="I44" s="1"/>
      <c r="J44" s="1"/>
      <c r="K44" s="1"/>
      <c r="L44" s="1"/>
      <c r="M44" s="1"/>
    </row>
    <row r="45" spans="1:13" ht="19.5" x14ac:dyDescent="0.2">
      <c r="A45" s="52"/>
      <c r="B45" s="65">
        <v>25</v>
      </c>
      <c r="C45" s="28"/>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TW48"/>
  <sheetViews>
    <sheetView view="pageBreakPreview" zoomScale="55" zoomScaleNormal="100" zoomScaleSheetLayoutView="55" workbookViewId="0">
      <selection activeCell="B45" sqref="B3:C46"/>
    </sheetView>
  </sheetViews>
  <sheetFormatPr baseColWidth="10"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35" t="s">
        <v>49</v>
      </c>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7"/>
      <c r="DH2" s="135" t="s">
        <v>50</v>
      </c>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7"/>
      <c r="HL2" s="135" t="s">
        <v>51</v>
      </c>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c r="KA2" s="136"/>
      <c r="KB2" s="136"/>
      <c r="KC2" s="136"/>
      <c r="KD2" s="136"/>
      <c r="KE2" s="136"/>
      <c r="KF2" s="136"/>
      <c r="KG2" s="136"/>
      <c r="KH2" s="136"/>
      <c r="KI2" s="136"/>
      <c r="KJ2" s="136"/>
      <c r="KK2" s="136"/>
      <c r="KL2" s="136"/>
      <c r="KM2" s="136"/>
      <c r="KN2" s="136"/>
      <c r="KO2" s="136"/>
      <c r="KP2" s="136"/>
      <c r="KQ2" s="136"/>
      <c r="KR2" s="136"/>
      <c r="KS2" s="136"/>
      <c r="KT2" s="136"/>
      <c r="KU2" s="136"/>
      <c r="KV2" s="136"/>
      <c r="KW2" s="136"/>
      <c r="KX2" s="136"/>
      <c r="KY2" s="136"/>
      <c r="KZ2" s="136"/>
      <c r="LA2" s="136"/>
      <c r="LB2" s="136"/>
      <c r="LC2" s="136"/>
      <c r="LD2" s="136"/>
      <c r="LE2" s="136"/>
      <c r="LF2" s="136"/>
      <c r="LG2" s="136"/>
      <c r="LH2" s="136"/>
      <c r="LI2" s="136"/>
      <c r="LJ2" s="136"/>
      <c r="LK2" s="136"/>
      <c r="LL2" s="136"/>
      <c r="LM2" s="136"/>
      <c r="LN2" s="136"/>
      <c r="LO2" s="137"/>
      <c r="LP2" s="135" t="s">
        <v>52</v>
      </c>
      <c r="LQ2" s="136"/>
      <c r="LR2" s="136"/>
      <c r="LS2" s="136"/>
      <c r="LT2" s="136"/>
      <c r="LU2" s="136"/>
      <c r="LV2" s="136"/>
      <c r="LW2" s="136"/>
      <c r="LX2" s="136"/>
      <c r="LY2" s="136"/>
      <c r="LZ2" s="136"/>
      <c r="MA2" s="136"/>
      <c r="MB2" s="136"/>
      <c r="MC2" s="136"/>
      <c r="MD2" s="136"/>
      <c r="ME2" s="136"/>
      <c r="MF2" s="136"/>
      <c r="MG2" s="136"/>
      <c r="MH2" s="136"/>
      <c r="MI2" s="136"/>
      <c r="MJ2" s="136"/>
      <c r="MK2" s="136"/>
      <c r="ML2" s="136"/>
      <c r="MM2" s="136"/>
      <c r="MN2" s="136"/>
      <c r="MO2" s="136"/>
      <c r="MP2" s="136"/>
      <c r="MQ2" s="136"/>
      <c r="MR2" s="136"/>
      <c r="MS2" s="136"/>
      <c r="MT2" s="136"/>
      <c r="MU2" s="136"/>
      <c r="MV2" s="136"/>
      <c r="MW2" s="136"/>
      <c r="MX2" s="136"/>
      <c r="MY2" s="136"/>
      <c r="MZ2" s="136"/>
      <c r="NA2" s="136"/>
      <c r="NB2" s="136"/>
      <c r="NC2" s="136"/>
      <c r="ND2" s="136"/>
      <c r="NE2" s="136"/>
      <c r="NF2" s="136"/>
      <c r="NG2" s="136"/>
      <c r="NH2" s="136"/>
      <c r="NI2" s="136"/>
      <c r="NJ2" s="136"/>
      <c r="NK2" s="136"/>
      <c r="NL2" s="136"/>
      <c r="NM2" s="136"/>
      <c r="NN2" s="136"/>
      <c r="NO2" s="136"/>
      <c r="NP2" s="136"/>
      <c r="NQ2" s="136"/>
      <c r="NR2" s="136"/>
      <c r="NS2" s="136"/>
      <c r="NT2" s="136"/>
      <c r="NU2" s="136"/>
      <c r="NV2" s="136"/>
      <c r="NW2" s="136"/>
      <c r="NX2" s="136"/>
      <c r="NY2" s="136"/>
      <c r="NZ2" s="136"/>
      <c r="OA2" s="136"/>
      <c r="OB2" s="136"/>
      <c r="OC2" s="136"/>
      <c r="OD2" s="136"/>
      <c r="OE2" s="136"/>
      <c r="OF2" s="136"/>
      <c r="OG2" s="136"/>
      <c r="OH2" s="136"/>
      <c r="OI2" s="136"/>
      <c r="OJ2" s="136"/>
      <c r="OK2" s="136"/>
      <c r="OL2" s="136"/>
      <c r="OM2" s="136"/>
      <c r="ON2" s="136"/>
      <c r="OO2" s="136"/>
      <c r="OP2" s="136"/>
      <c r="OQ2" s="136"/>
      <c r="OR2" s="136"/>
      <c r="OS2" s="136"/>
      <c r="OT2" s="136"/>
      <c r="OU2" s="136"/>
      <c r="OV2" s="136"/>
      <c r="OW2" s="136"/>
      <c r="OX2" s="136"/>
      <c r="OY2" s="136"/>
      <c r="OZ2" s="136"/>
      <c r="PA2" s="136"/>
      <c r="PB2" s="136"/>
      <c r="PC2" s="136"/>
      <c r="PD2" s="136"/>
      <c r="PE2" s="136"/>
      <c r="PF2" s="136"/>
      <c r="PG2" s="136"/>
      <c r="PH2" s="136"/>
      <c r="PI2" s="136"/>
      <c r="PJ2" s="136"/>
      <c r="PK2" s="136"/>
      <c r="PL2" s="136"/>
      <c r="PM2" s="136"/>
      <c r="PN2" s="136"/>
      <c r="PO2" s="136"/>
      <c r="PP2" s="136"/>
      <c r="PQ2" s="136"/>
      <c r="PR2" s="136"/>
      <c r="PS2" s="137"/>
      <c r="PT2" s="135" t="s">
        <v>54</v>
      </c>
      <c r="PU2" s="136"/>
      <c r="PV2" s="136"/>
      <c r="PW2" s="136"/>
      <c r="PX2" s="136"/>
      <c r="PY2" s="136"/>
      <c r="PZ2" s="136"/>
      <c r="QA2" s="136"/>
      <c r="QB2" s="136"/>
      <c r="QC2" s="136"/>
      <c r="QD2" s="136"/>
      <c r="QE2" s="136"/>
      <c r="QF2" s="136"/>
      <c r="QG2" s="136"/>
      <c r="QH2" s="136"/>
      <c r="QI2" s="136"/>
      <c r="QJ2" s="136"/>
      <c r="QK2" s="136"/>
      <c r="QL2" s="136"/>
      <c r="QM2" s="136"/>
      <c r="QN2" s="136"/>
      <c r="QO2" s="136"/>
      <c r="QP2" s="136"/>
      <c r="QQ2" s="136"/>
      <c r="QR2" s="136"/>
      <c r="QS2" s="136"/>
      <c r="QT2" s="136"/>
      <c r="QU2" s="136"/>
      <c r="QV2" s="136"/>
      <c r="QW2" s="136"/>
      <c r="QX2" s="136"/>
      <c r="QY2" s="136"/>
      <c r="QZ2" s="136"/>
      <c r="RA2" s="136"/>
      <c r="RB2" s="136"/>
      <c r="RC2" s="136"/>
      <c r="RD2" s="136"/>
      <c r="RE2" s="136"/>
      <c r="RF2" s="136"/>
      <c r="RG2" s="136"/>
      <c r="RH2" s="136"/>
      <c r="RI2" s="136"/>
      <c r="RJ2" s="136"/>
      <c r="RK2" s="136"/>
      <c r="RL2" s="136"/>
      <c r="RM2" s="136"/>
      <c r="RN2" s="136"/>
      <c r="RO2" s="136"/>
      <c r="RP2" s="136"/>
      <c r="RQ2" s="136"/>
      <c r="RR2" s="136"/>
      <c r="RS2" s="136"/>
      <c r="RT2" s="136"/>
      <c r="RU2" s="136"/>
      <c r="RV2" s="136"/>
      <c r="RW2" s="136"/>
      <c r="RX2" s="136"/>
      <c r="RY2" s="136"/>
      <c r="RZ2" s="136"/>
      <c r="SA2" s="136"/>
      <c r="SB2" s="136"/>
      <c r="SC2" s="136"/>
      <c r="SD2" s="136"/>
      <c r="SE2" s="136"/>
      <c r="SF2" s="136"/>
      <c r="SG2" s="136"/>
      <c r="SH2" s="136"/>
      <c r="SI2" s="136"/>
      <c r="SJ2" s="136"/>
      <c r="SK2" s="136"/>
      <c r="SL2" s="136"/>
      <c r="SM2" s="136"/>
      <c r="SN2" s="136"/>
      <c r="SO2" s="136"/>
      <c r="SP2" s="136"/>
      <c r="SQ2" s="136"/>
      <c r="SR2" s="136"/>
      <c r="SS2" s="136"/>
      <c r="ST2" s="136"/>
      <c r="SU2" s="136"/>
      <c r="SV2" s="136"/>
      <c r="SW2" s="136"/>
      <c r="SX2" s="136"/>
      <c r="SY2" s="136"/>
      <c r="SZ2" s="136"/>
      <c r="TA2" s="136"/>
      <c r="TB2" s="136"/>
      <c r="TC2" s="136"/>
      <c r="TD2" s="136"/>
      <c r="TE2" s="136"/>
      <c r="TF2" s="136"/>
      <c r="TG2" s="136"/>
      <c r="TH2" s="136"/>
      <c r="TI2" s="136"/>
      <c r="TJ2" s="136"/>
      <c r="TK2" s="136"/>
      <c r="TL2" s="136"/>
      <c r="TM2" s="136"/>
      <c r="TN2" s="136"/>
      <c r="TO2" s="136"/>
      <c r="TP2" s="136"/>
      <c r="TQ2" s="136"/>
      <c r="TR2" s="136"/>
      <c r="TS2" s="136"/>
      <c r="TT2" s="136"/>
      <c r="TU2" s="136"/>
      <c r="TV2" s="136"/>
      <c r="TW2" s="137"/>
    </row>
    <row r="3" spans="1:543" ht="19.5" customHeight="1" x14ac:dyDescent="0.2">
      <c r="A3" s="84"/>
      <c r="B3" s="140" t="s">
        <v>21</v>
      </c>
      <c r="C3" s="30">
        <v>156</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09"/>
      <c r="BM3" s="107"/>
      <c r="BN3" s="108"/>
      <c r="BO3" s="109"/>
      <c r="BP3" s="107"/>
      <c r="BQ3" s="108"/>
      <c r="BR3" s="109"/>
      <c r="BS3" s="107"/>
      <c r="BT3" s="108"/>
      <c r="BU3" s="109"/>
      <c r="BV3" s="107"/>
      <c r="BW3" s="108"/>
      <c r="BX3" s="109"/>
      <c r="BY3" s="107"/>
      <c r="BZ3" s="108"/>
      <c r="CA3" s="109"/>
      <c r="CB3" s="107"/>
      <c r="CC3" s="108"/>
      <c r="CD3" s="109"/>
      <c r="CE3" s="107"/>
      <c r="CF3" s="108"/>
      <c r="CG3" s="109"/>
      <c r="CH3" s="107"/>
      <c r="CI3" s="108"/>
      <c r="CJ3" s="109"/>
      <c r="CK3" s="107"/>
      <c r="CL3" s="108"/>
      <c r="CM3" s="109"/>
      <c r="CN3" s="107"/>
      <c r="CO3" s="108"/>
      <c r="CP3" s="109"/>
      <c r="CQ3" s="107"/>
      <c r="CR3" s="108"/>
      <c r="CS3" s="109"/>
      <c r="CT3" s="107"/>
      <c r="CU3" s="108"/>
      <c r="CV3" s="109"/>
      <c r="CW3" s="107"/>
      <c r="CX3" s="108"/>
      <c r="CY3" s="109"/>
      <c r="CZ3" s="107"/>
      <c r="DA3" s="108"/>
      <c r="DB3" s="109"/>
      <c r="DC3" s="107"/>
      <c r="DD3" s="108"/>
      <c r="DE3" s="109"/>
      <c r="DF3" s="107"/>
      <c r="DG3" s="110"/>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6"/>
      <c r="HM3" s="107"/>
      <c r="HN3" s="108"/>
      <c r="HO3" s="109"/>
      <c r="HP3" s="107"/>
      <c r="HQ3" s="108"/>
      <c r="HR3" s="109"/>
      <c r="HS3" s="107"/>
      <c r="HT3" s="108"/>
      <c r="HU3" s="109"/>
      <c r="HV3" s="107"/>
      <c r="HW3" s="108"/>
      <c r="HX3" s="109"/>
      <c r="HY3" s="107"/>
      <c r="HZ3" s="108"/>
      <c r="IA3" s="109"/>
      <c r="IB3" s="107"/>
      <c r="IC3" s="108"/>
      <c r="ID3" s="109"/>
      <c r="IE3" s="107"/>
      <c r="IF3" s="108"/>
      <c r="IG3" s="109"/>
      <c r="IH3" s="107"/>
      <c r="II3" s="108"/>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109"/>
      <c r="QS3" s="107"/>
      <c r="QT3" s="108"/>
      <c r="QU3" s="109"/>
      <c r="QV3" s="107"/>
      <c r="QW3" s="108"/>
      <c r="QX3" s="109"/>
      <c r="QY3" s="107"/>
      <c r="QZ3" s="108"/>
      <c r="RA3" s="109"/>
      <c r="RB3" s="107"/>
      <c r="RC3" s="108"/>
      <c r="RD3" s="109"/>
      <c r="RE3" s="107"/>
      <c r="RF3" s="108"/>
      <c r="RG3" s="109"/>
      <c r="RH3" s="107"/>
      <c r="RI3" s="108"/>
      <c r="RJ3" s="109"/>
      <c r="RK3" s="107"/>
      <c r="RL3" s="108"/>
      <c r="RM3" s="109"/>
      <c r="RN3" s="107"/>
      <c r="RO3" s="108"/>
      <c r="RP3" s="109"/>
      <c r="RQ3" s="107"/>
      <c r="RR3" s="108"/>
      <c r="RS3" s="109"/>
      <c r="RT3" s="107"/>
      <c r="RU3" s="108"/>
      <c r="RV3" s="109"/>
      <c r="RW3" s="107"/>
      <c r="RX3" s="108"/>
      <c r="RY3" s="109"/>
      <c r="RZ3" s="107"/>
      <c r="SA3" s="108"/>
      <c r="SB3" s="109"/>
      <c r="SC3" s="107"/>
      <c r="SD3" s="108"/>
      <c r="SE3" s="109"/>
      <c r="SF3" s="107"/>
      <c r="SG3" s="108"/>
      <c r="SH3" s="109"/>
      <c r="SI3" s="107"/>
      <c r="SJ3" s="108"/>
      <c r="SK3" s="109"/>
      <c r="SL3" s="107"/>
      <c r="SM3" s="108"/>
      <c r="SN3" s="109"/>
      <c r="SO3" s="107"/>
      <c r="SP3" s="108"/>
      <c r="SQ3" s="109"/>
      <c r="SR3" s="107"/>
      <c r="SS3" s="108"/>
      <c r="ST3" s="109"/>
      <c r="SU3" s="107"/>
      <c r="SV3" s="108"/>
      <c r="SW3" s="109"/>
      <c r="SX3" s="107"/>
      <c r="SY3" s="108"/>
      <c r="SZ3" s="109"/>
      <c r="TA3" s="107"/>
      <c r="TB3" s="108"/>
      <c r="TC3" s="109"/>
      <c r="TD3" s="107"/>
      <c r="TE3" s="108"/>
      <c r="TF3" s="109"/>
      <c r="TG3" s="107"/>
      <c r="TH3" s="108"/>
      <c r="TI3" s="109"/>
      <c r="TJ3" s="107"/>
      <c r="TK3" s="108"/>
      <c r="TL3" s="109"/>
      <c r="TM3" s="107"/>
      <c r="TN3" s="108"/>
      <c r="TO3" s="109"/>
      <c r="TP3" s="107"/>
      <c r="TQ3" s="108"/>
      <c r="TR3" s="109"/>
      <c r="TS3" s="107"/>
      <c r="TT3" s="108"/>
      <c r="TU3" s="109"/>
      <c r="TV3" s="107"/>
      <c r="TW3" s="110"/>
    </row>
    <row r="4" spans="1:543" ht="19.5" customHeight="1" thickBot="1" x14ac:dyDescent="0.25">
      <c r="A4" s="84"/>
      <c r="B4" s="141"/>
      <c r="C4" s="44">
        <v>156</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5"/>
      <c r="BM4" s="113"/>
      <c r="BN4" s="114"/>
      <c r="BO4" s="115"/>
      <c r="BP4" s="113"/>
      <c r="BQ4" s="114"/>
      <c r="BR4" s="115"/>
      <c r="BS4" s="113"/>
      <c r="BT4" s="114"/>
      <c r="BU4" s="115"/>
      <c r="BV4" s="113"/>
      <c r="BW4" s="114"/>
      <c r="BX4" s="115"/>
      <c r="BY4" s="113"/>
      <c r="BZ4" s="114"/>
      <c r="CA4" s="115"/>
      <c r="CB4" s="113"/>
      <c r="CC4" s="114"/>
      <c r="CD4" s="115"/>
      <c r="CE4" s="113"/>
      <c r="CF4" s="114"/>
      <c r="CG4" s="115"/>
      <c r="CH4" s="113"/>
      <c r="CI4" s="114"/>
      <c r="CJ4" s="115"/>
      <c r="CK4" s="113"/>
      <c r="CL4" s="114"/>
      <c r="CM4" s="115"/>
      <c r="CN4" s="113"/>
      <c r="CO4" s="114"/>
      <c r="CP4" s="115"/>
      <c r="CQ4" s="113"/>
      <c r="CR4" s="114"/>
      <c r="CS4" s="115"/>
      <c r="CT4" s="113"/>
      <c r="CU4" s="114"/>
      <c r="CV4" s="115"/>
      <c r="CW4" s="113"/>
      <c r="CX4" s="114"/>
      <c r="CY4" s="115"/>
      <c r="CZ4" s="113"/>
      <c r="DA4" s="114"/>
      <c r="DB4" s="115"/>
      <c r="DC4" s="113"/>
      <c r="DD4" s="114"/>
      <c r="DE4" s="115"/>
      <c r="DF4" s="113"/>
      <c r="DG4" s="116"/>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112"/>
      <c r="HM4" s="113"/>
      <c r="HN4" s="114"/>
      <c r="HO4" s="115"/>
      <c r="HP4" s="113"/>
      <c r="HQ4" s="114"/>
      <c r="HR4" s="115"/>
      <c r="HS4" s="113"/>
      <c r="HT4" s="114"/>
      <c r="HU4" s="115"/>
      <c r="HV4" s="113"/>
      <c r="HW4" s="114"/>
      <c r="HX4" s="115"/>
      <c r="HY4" s="113"/>
      <c r="HZ4" s="114"/>
      <c r="IA4" s="115"/>
      <c r="IB4" s="113"/>
      <c r="IC4" s="114"/>
      <c r="ID4" s="115"/>
      <c r="IE4" s="113"/>
      <c r="IF4" s="114"/>
      <c r="IG4" s="115"/>
      <c r="IH4" s="113"/>
      <c r="II4" s="114"/>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115"/>
      <c r="QS4" s="113"/>
      <c r="QT4" s="114"/>
      <c r="QU4" s="115"/>
      <c r="QV4" s="113"/>
      <c r="QW4" s="114"/>
      <c r="QX4" s="115"/>
      <c r="QY4" s="113"/>
      <c r="QZ4" s="114"/>
      <c r="RA4" s="115"/>
      <c r="RB4" s="113"/>
      <c r="RC4" s="114"/>
      <c r="RD4" s="115"/>
      <c r="RE4" s="113"/>
      <c r="RF4" s="114"/>
      <c r="RG4" s="115"/>
      <c r="RH4" s="113"/>
      <c r="RI4" s="114"/>
      <c r="RJ4" s="115"/>
      <c r="RK4" s="113"/>
      <c r="RL4" s="114"/>
      <c r="RM4" s="115"/>
      <c r="RN4" s="113"/>
      <c r="RO4" s="114"/>
      <c r="RP4" s="115"/>
      <c r="RQ4" s="113"/>
      <c r="RR4" s="114"/>
      <c r="RS4" s="115"/>
      <c r="RT4" s="113"/>
      <c r="RU4" s="114"/>
      <c r="RV4" s="115"/>
      <c r="RW4" s="113"/>
      <c r="RX4" s="114"/>
      <c r="RY4" s="115"/>
      <c r="RZ4" s="113"/>
      <c r="SA4" s="114"/>
      <c r="SB4" s="115"/>
      <c r="SC4" s="113"/>
      <c r="SD4" s="114"/>
      <c r="SE4" s="115"/>
      <c r="SF4" s="113"/>
      <c r="SG4" s="114"/>
      <c r="SH4" s="115"/>
      <c r="SI4" s="113"/>
      <c r="SJ4" s="114"/>
      <c r="SK4" s="115"/>
      <c r="SL4" s="113"/>
      <c r="SM4" s="114"/>
      <c r="SN4" s="115"/>
      <c r="SO4" s="113"/>
      <c r="SP4" s="114"/>
      <c r="SQ4" s="115"/>
      <c r="SR4" s="113"/>
      <c r="SS4" s="114"/>
      <c r="ST4" s="115"/>
      <c r="SU4" s="113"/>
      <c r="SV4" s="114"/>
      <c r="SW4" s="115"/>
      <c r="SX4" s="113"/>
      <c r="SY4" s="114"/>
      <c r="SZ4" s="115"/>
      <c r="TA4" s="113"/>
      <c r="TB4" s="114"/>
      <c r="TC4" s="115"/>
      <c r="TD4" s="113"/>
      <c r="TE4" s="114"/>
      <c r="TF4" s="115"/>
      <c r="TG4" s="113"/>
      <c r="TH4" s="114"/>
      <c r="TI4" s="115"/>
      <c r="TJ4" s="113"/>
      <c r="TK4" s="114"/>
      <c r="TL4" s="115"/>
      <c r="TM4" s="113"/>
      <c r="TN4" s="114"/>
      <c r="TO4" s="115"/>
      <c r="TP4" s="113"/>
      <c r="TQ4" s="114"/>
      <c r="TR4" s="115"/>
      <c r="TS4" s="113"/>
      <c r="TT4" s="114"/>
      <c r="TU4" s="115"/>
      <c r="TV4" s="113"/>
      <c r="TW4" s="116"/>
    </row>
    <row r="5" spans="1:543" ht="19.5" customHeight="1" x14ac:dyDescent="0.2">
      <c r="B5" s="138" t="str">
        <f>Donnees!$C$21</f>
        <v>Prise de connaissance du projet</v>
      </c>
      <c r="C5" s="95">
        <v>6</v>
      </c>
      <c r="D5" s="106"/>
      <c r="E5" s="107"/>
      <c r="F5" s="108"/>
      <c r="G5" s="109"/>
      <c r="H5" s="107"/>
      <c r="I5" s="108"/>
      <c r="J5" s="88"/>
      <c r="K5" s="86"/>
      <c r="L5" s="87"/>
      <c r="M5" s="88"/>
      <c r="N5" s="86"/>
      <c r="O5" s="87"/>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39"/>
      <c r="C6" s="96">
        <v>6</v>
      </c>
      <c r="D6" s="112"/>
      <c r="E6" s="113"/>
      <c r="F6" s="114"/>
      <c r="G6" s="115"/>
      <c r="H6" s="113"/>
      <c r="I6" s="114"/>
      <c r="J6" s="93"/>
      <c r="K6" s="91"/>
      <c r="L6" s="92"/>
      <c r="M6" s="93"/>
      <c r="N6" s="91"/>
      <c r="O6" s="92"/>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38" t="str">
        <f>Donnees!$C$22</f>
        <v>Information</v>
      </c>
      <c r="C7" s="95">
        <v>3</v>
      </c>
      <c r="D7" s="85"/>
      <c r="E7" s="86"/>
      <c r="F7" s="87"/>
      <c r="G7" s="88"/>
      <c r="H7" s="86"/>
      <c r="I7" s="87"/>
      <c r="J7" s="88"/>
      <c r="K7" s="86"/>
      <c r="L7" s="87"/>
      <c r="M7" s="88"/>
      <c r="N7" s="86"/>
      <c r="O7" s="87"/>
      <c r="P7" s="88"/>
      <c r="Q7" s="86"/>
      <c r="R7" s="87"/>
      <c r="S7" s="88"/>
      <c r="T7" s="86"/>
      <c r="U7" s="87"/>
      <c r="V7" s="88"/>
      <c r="W7" s="86"/>
      <c r="X7" s="87"/>
      <c r="Y7" s="88"/>
      <c r="Z7" s="86"/>
      <c r="AA7" s="87"/>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106"/>
      <c r="DI7" s="107"/>
      <c r="DJ7" s="108"/>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39"/>
      <c r="C8" s="96">
        <v>2</v>
      </c>
      <c r="D8" s="90"/>
      <c r="E8" s="91"/>
      <c r="F8" s="92"/>
      <c r="G8" s="93"/>
      <c r="H8" s="91"/>
      <c r="I8" s="92"/>
      <c r="J8" s="93"/>
      <c r="K8" s="91"/>
      <c r="L8" s="92"/>
      <c r="M8" s="93"/>
      <c r="N8" s="91"/>
      <c r="O8" s="92"/>
      <c r="P8" s="93"/>
      <c r="Q8" s="91"/>
      <c r="R8" s="92"/>
      <c r="S8" s="93"/>
      <c r="T8" s="91"/>
      <c r="U8" s="92"/>
      <c r="V8" s="93"/>
      <c r="W8" s="91"/>
      <c r="X8" s="92"/>
      <c r="Y8" s="93"/>
      <c r="Z8" s="91"/>
      <c r="AA8" s="92"/>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114"/>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115"/>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42" t="str">
        <f>Donnees!$C$23</f>
        <v>Planification du projet</v>
      </c>
      <c r="C9" s="95">
        <v>12</v>
      </c>
      <c r="D9" s="85"/>
      <c r="E9" s="86"/>
      <c r="F9" s="87"/>
      <c r="G9" s="88"/>
      <c r="H9" s="86"/>
      <c r="I9" s="87"/>
      <c r="J9" s="109"/>
      <c r="K9" s="107"/>
      <c r="L9" s="108"/>
      <c r="M9" s="109"/>
      <c r="N9" s="107"/>
      <c r="O9" s="108"/>
      <c r="P9" s="109"/>
      <c r="Q9" s="107"/>
      <c r="R9" s="108"/>
      <c r="S9" s="109"/>
      <c r="T9" s="107"/>
      <c r="U9" s="108"/>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88"/>
      <c r="BG9" s="86"/>
      <c r="BH9" s="87"/>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88"/>
      <c r="DR9" s="86"/>
      <c r="DS9" s="87"/>
      <c r="DT9" s="88"/>
      <c r="DU9" s="86"/>
      <c r="DV9" s="87"/>
      <c r="DW9" s="88"/>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39"/>
      <c r="C10" s="96">
        <v>22</v>
      </c>
      <c r="D10" s="90"/>
      <c r="E10" s="91"/>
      <c r="F10" s="92"/>
      <c r="G10" s="93"/>
      <c r="H10" s="91"/>
      <c r="I10" s="92"/>
      <c r="J10" s="115"/>
      <c r="K10" s="113"/>
      <c r="L10" s="114"/>
      <c r="M10" s="115"/>
      <c r="N10" s="113"/>
      <c r="O10" s="114"/>
      <c r="P10" s="115"/>
      <c r="Q10" s="113"/>
      <c r="R10" s="114"/>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93"/>
      <c r="BG10" s="91"/>
      <c r="BH10" s="92"/>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91"/>
      <c r="DY10" s="92"/>
      <c r="DZ10" s="93"/>
      <c r="EA10" s="91"/>
      <c r="EB10" s="92"/>
      <c r="EC10" s="93"/>
      <c r="ED10" s="91"/>
      <c r="EE10" s="92"/>
      <c r="EF10" s="93"/>
      <c r="EG10" s="91"/>
      <c r="EH10" s="92"/>
      <c r="EI10" s="93"/>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115"/>
      <c r="GO10" s="91"/>
      <c r="GP10" s="92"/>
      <c r="GQ10" s="93"/>
      <c r="GR10" s="91"/>
      <c r="GS10" s="92"/>
      <c r="GT10" s="115"/>
      <c r="GU10" s="113"/>
      <c r="GV10" s="114"/>
      <c r="GW10" s="115"/>
      <c r="GX10" s="113"/>
      <c r="GY10" s="114"/>
      <c r="GZ10" s="115"/>
      <c r="HA10" s="113"/>
      <c r="HB10" s="114"/>
      <c r="HC10" s="115"/>
      <c r="HD10" s="113"/>
      <c r="HE10" s="114"/>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42" t="str">
        <f>Donnees!$C$24</f>
        <v>Analyse - Tutoriel</v>
      </c>
      <c r="C11" s="95">
        <v>0</v>
      </c>
      <c r="D11" s="85"/>
      <c r="E11" s="86"/>
      <c r="F11" s="87"/>
      <c r="G11" s="88"/>
      <c r="H11" s="86"/>
      <c r="I11" s="87"/>
      <c r="J11" s="88"/>
      <c r="K11" s="86"/>
      <c r="L11" s="87"/>
      <c r="M11" s="88"/>
      <c r="N11" s="86"/>
      <c r="O11" s="87"/>
      <c r="P11" s="88"/>
      <c r="Q11" s="86"/>
      <c r="R11" s="87"/>
      <c r="S11" s="88"/>
      <c r="T11" s="86"/>
      <c r="U11" s="87"/>
      <c r="V11" s="88"/>
      <c r="W11" s="86"/>
      <c r="X11" s="87"/>
      <c r="Y11" s="88"/>
      <c r="Z11" s="86"/>
      <c r="AA11" s="87"/>
      <c r="AB11" s="88"/>
      <c r="AC11" s="86"/>
      <c r="AD11" s="87"/>
      <c r="AE11" s="88"/>
      <c r="AF11" s="86"/>
      <c r="AG11" s="87"/>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39"/>
      <c r="C12" s="96">
        <v>0</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93"/>
      <c r="AO12" s="91"/>
      <c r="AP12" s="92"/>
      <c r="AQ12" s="93"/>
      <c r="AR12" s="91"/>
      <c r="AS12" s="92"/>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42" t="str">
        <f>Donnees!$C$25</f>
        <v>Analyse - Tutoriel : Structure</v>
      </c>
      <c r="C13" s="95">
        <v>3</v>
      </c>
      <c r="D13" s="85"/>
      <c r="E13" s="86"/>
      <c r="F13" s="87"/>
      <c r="G13" s="88"/>
      <c r="H13" s="86"/>
      <c r="I13" s="87"/>
      <c r="J13" s="88"/>
      <c r="K13" s="86"/>
      <c r="L13" s="87"/>
      <c r="M13" s="88"/>
      <c r="N13" s="86"/>
      <c r="O13" s="87"/>
      <c r="P13" s="88"/>
      <c r="Q13" s="86"/>
      <c r="R13" s="87"/>
      <c r="S13" s="88"/>
      <c r="T13" s="86"/>
      <c r="U13" s="87"/>
      <c r="V13" s="88"/>
      <c r="W13" s="86"/>
      <c r="X13" s="87"/>
      <c r="Y13" s="109"/>
      <c r="Z13" s="107"/>
      <c r="AA13" s="108"/>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88"/>
      <c r="BJ13" s="86"/>
      <c r="BK13" s="87"/>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86"/>
      <c r="DY13" s="87"/>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39"/>
      <c r="C14" s="96">
        <v>12</v>
      </c>
      <c r="D14" s="90"/>
      <c r="E14" s="91"/>
      <c r="F14" s="92"/>
      <c r="G14" s="93"/>
      <c r="H14" s="91"/>
      <c r="I14" s="92"/>
      <c r="J14" s="93"/>
      <c r="K14" s="91"/>
      <c r="L14" s="92"/>
      <c r="M14" s="93"/>
      <c r="N14" s="91"/>
      <c r="O14" s="92"/>
      <c r="P14" s="93"/>
      <c r="Q14" s="91"/>
      <c r="R14" s="92"/>
      <c r="S14" s="93"/>
      <c r="T14" s="91"/>
      <c r="U14" s="92"/>
      <c r="V14" s="93"/>
      <c r="W14" s="91"/>
      <c r="X14" s="92"/>
      <c r="Y14" s="115"/>
      <c r="Z14" s="113"/>
      <c r="AA14" s="114"/>
      <c r="AB14" s="115"/>
      <c r="AC14" s="113"/>
      <c r="AD14" s="114"/>
      <c r="AE14" s="115"/>
      <c r="AF14" s="113"/>
      <c r="AG14" s="114"/>
      <c r="AH14" s="115"/>
      <c r="AI14" s="113"/>
      <c r="AJ14" s="114"/>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93"/>
      <c r="BJ14" s="91"/>
      <c r="BK14" s="92"/>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42" t="str">
        <f>Donnees!$C$26</f>
        <v>Analyse - Tutoriel : Difficulté du code</v>
      </c>
      <c r="C15" s="95">
        <v>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88"/>
      <c r="AI15" s="86"/>
      <c r="AJ15" s="87"/>
      <c r="AK15" s="88"/>
      <c r="AL15" s="86"/>
      <c r="AM15" s="87"/>
      <c r="AN15" s="88"/>
      <c r="AO15" s="86"/>
      <c r="AP15" s="87"/>
      <c r="AQ15" s="88"/>
      <c r="AR15" s="86"/>
      <c r="AS15" s="87"/>
      <c r="AT15" s="88"/>
      <c r="AU15" s="86"/>
      <c r="AV15" s="87"/>
      <c r="AW15" s="88"/>
      <c r="AX15" s="107"/>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85"/>
      <c r="DI15" s="86"/>
      <c r="DJ15" s="87"/>
      <c r="DK15" s="88"/>
      <c r="DL15" s="86"/>
      <c r="DM15" s="87"/>
      <c r="DN15" s="88"/>
      <c r="DO15" s="86"/>
      <c r="DP15" s="87"/>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39"/>
      <c r="C16" s="96">
        <v>0</v>
      </c>
      <c r="D16" s="90"/>
      <c r="E16" s="91"/>
      <c r="F16" s="92"/>
      <c r="G16" s="93"/>
      <c r="H16" s="91"/>
      <c r="I16" s="92"/>
      <c r="J16" s="93"/>
      <c r="K16" s="91"/>
      <c r="L16" s="92"/>
      <c r="M16" s="93"/>
      <c r="N16" s="91"/>
      <c r="O16" s="92"/>
      <c r="P16" s="93"/>
      <c r="Q16" s="91"/>
      <c r="R16" s="92"/>
      <c r="S16" s="93"/>
      <c r="T16" s="91"/>
      <c r="U16" s="92"/>
      <c r="V16" s="93"/>
      <c r="W16" s="91"/>
      <c r="X16" s="92"/>
      <c r="Y16" s="93"/>
      <c r="Z16" s="91"/>
      <c r="AA16" s="92"/>
      <c r="AB16" s="93"/>
      <c r="AC16" s="91"/>
      <c r="AD16" s="92"/>
      <c r="AE16" s="93"/>
      <c r="AF16" s="91"/>
      <c r="AG16" s="92"/>
      <c r="AH16" s="93"/>
      <c r="AI16" s="91"/>
      <c r="AJ16" s="92"/>
      <c r="AK16" s="93"/>
      <c r="AL16" s="91"/>
      <c r="AM16" s="92"/>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42" t="str">
        <f>Donnees!$C$27</f>
        <v>Analyse - Projets</v>
      </c>
      <c r="C17" s="95">
        <v>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88"/>
      <c r="EA17" s="86"/>
      <c r="EB17" s="87"/>
      <c r="EC17" s="88"/>
      <c r="ED17" s="86"/>
      <c r="EE17" s="87"/>
      <c r="EF17" s="88"/>
      <c r="EG17" s="86"/>
      <c r="EH17" s="87"/>
      <c r="EI17" s="88"/>
      <c r="EJ17" s="86"/>
      <c r="EK17" s="87"/>
      <c r="EL17" s="88"/>
      <c r="EM17" s="86"/>
      <c r="EN17" s="87"/>
      <c r="EO17" s="88"/>
      <c r="EP17" s="86"/>
      <c r="EQ17" s="87"/>
      <c r="ER17" s="88"/>
      <c r="ES17" s="86"/>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39"/>
      <c r="C18" s="96">
        <v>0</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90"/>
      <c r="DI18" s="91"/>
      <c r="DJ18" s="92"/>
      <c r="DK18" s="93"/>
      <c r="DL18" s="91"/>
      <c r="DM18" s="92"/>
      <c r="DN18" s="93"/>
      <c r="DO18" s="91"/>
      <c r="DP18" s="92"/>
      <c r="DQ18" s="93"/>
      <c r="DR18" s="91"/>
      <c r="DS18" s="92"/>
      <c r="DT18" s="93"/>
      <c r="DU18" s="91"/>
      <c r="DV18" s="92"/>
      <c r="DW18" s="93"/>
      <c r="DX18" s="91"/>
      <c r="DY18" s="92"/>
      <c r="DZ18" s="93"/>
      <c r="EA18" s="91"/>
      <c r="EB18" s="92"/>
      <c r="EC18" s="93"/>
      <c r="ED18" s="91"/>
      <c r="EE18" s="92"/>
      <c r="EF18" s="93"/>
      <c r="EG18" s="91"/>
      <c r="EH18" s="92"/>
      <c r="EI18" s="93"/>
      <c r="EJ18" s="91"/>
      <c r="EK18" s="92"/>
      <c r="EL18" s="93"/>
      <c r="EM18" s="91"/>
      <c r="EN18" s="92"/>
      <c r="EO18" s="93"/>
      <c r="EP18" s="91"/>
      <c r="EQ18" s="92"/>
      <c r="ER18" s="93"/>
      <c r="ES18" s="91"/>
      <c r="ET18" s="92"/>
      <c r="EU18" s="93"/>
      <c r="EV18" s="91"/>
      <c r="EW18" s="92"/>
      <c r="EX18" s="93"/>
      <c r="EY18" s="91"/>
      <c r="EZ18" s="92"/>
      <c r="FA18" s="93"/>
      <c r="FB18" s="91"/>
      <c r="FC18" s="92"/>
      <c r="FD18" s="93"/>
      <c r="FE18" s="91"/>
      <c r="FF18" s="92"/>
      <c r="FG18" s="93"/>
      <c r="FH18" s="91"/>
      <c r="FI18" s="92"/>
      <c r="FJ18" s="93"/>
      <c r="FK18" s="91"/>
      <c r="FL18" s="92"/>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42" t="str">
        <f>Donnees!$C$28</f>
        <v>Analyse - Projets : Technologie de l'API à utiliser</v>
      </c>
      <c r="C19" s="95">
        <v>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87"/>
      <c r="EU19" s="88"/>
      <c r="EV19" s="86"/>
      <c r="EW19" s="87"/>
      <c r="EX19" s="88"/>
      <c r="EY19" s="86"/>
      <c r="EZ19" s="87"/>
      <c r="FA19" s="88"/>
      <c r="FB19" s="86"/>
      <c r="FC19" s="87"/>
      <c r="FD19" s="88"/>
      <c r="FE19" s="86"/>
      <c r="FF19" s="87"/>
      <c r="FG19" s="88"/>
      <c r="FH19" s="86"/>
      <c r="FI19" s="87"/>
      <c r="FJ19" s="88"/>
      <c r="FK19" s="86"/>
      <c r="FL19" s="87"/>
      <c r="FM19" s="88"/>
      <c r="FN19" s="86"/>
      <c r="FO19" s="87"/>
      <c r="FP19" s="88"/>
      <c r="FQ19" s="86"/>
      <c r="FR19" s="87"/>
      <c r="FS19" s="88"/>
      <c r="FT19" s="86"/>
      <c r="FU19" s="87"/>
      <c r="FV19" s="88"/>
      <c r="FW19" s="86"/>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39"/>
      <c r="C20" s="96">
        <v>0</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91"/>
      <c r="FX20" s="92"/>
      <c r="FY20" s="93"/>
      <c r="FZ20" s="91"/>
      <c r="GA20" s="92"/>
      <c r="GB20" s="93"/>
      <c r="GC20" s="91"/>
      <c r="GD20" s="92"/>
      <c r="GE20" s="93"/>
      <c r="GF20" s="91"/>
      <c r="GG20" s="92"/>
      <c r="GH20" s="93"/>
      <c r="GI20" s="91"/>
      <c r="GJ20" s="92"/>
      <c r="GK20" s="93"/>
      <c r="GL20" s="91"/>
      <c r="GM20" s="92"/>
      <c r="GN20" s="93"/>
      <c r="GO20" s="91"/>
      <c r="GP20" s="92"/>
      <c r="GQ20" s="93"/>
      <c r="GR20" s="91"/>
      <c r="GS20" s="92"/>
      <c r="GT20" s="93"/>
      <c r="GU20" s="91"/>
      <c r="GV20" s="92"/>
      <c r="GW20" s="93"/>
      <c r="GX20" s="91"/>
      <c r="GY20" s="92"/>
      <c r="GZ20" s="93"/>
      <c r="HA20" s="91"/>
      <c r="HB20" s="92"/>
      <c r="HC20" s="93"/>
      <c r="HD20" s="91"/>
      <c r="HE20" s="92"/>
      <c r="HF20" s="93"/>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38" t="str">
        <f>Donnees!$C$29</f>
        <v>Analyse - Projets : Diagramme de classe</v>
      </c>
      <c r="C21" s="95">
        <v>3</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109"/>
      <c r="EM21" s="107"/>
      <c r="EN21" s="108"/>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87"/>
      <c r="FY21" s="88"/>
      <c r="FZ21" s="86"/>
      <c r="GA21" s="87"/>
      <c r="GB21" s="88"/>
      <c r="GC21" s="86"/>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39"/>
      <c r="C22" s="96">
        <v>0</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92"/>
      <c r="GH22" s="93"/>
      <c r="GI22" s="91"/>
      <c r="GJ22" s="92"/>
      <c r="GK22" s="93"/>
      <c r="GL22" s="91"/>
      <c r="GM22" s="92"/>
      <c r="GN22" s="93"/>
      <c r="GO22" s="91"/>
      <c r="GP22" s="92"/>
      <c r="GQ22" s="93"/>
      <c r="GR22" s="91"/>
      <c r="GS22" s="92"/>
      <c r="GT22" s="93"/>
      <c r="GU22" s="91"/>
      <c r="GV22" s="92"/>
      <c r="GW22" s="93"/>
      <c r="GX22" s="91"/>
      <c r="GY22" s="92"/>
      <c r="GZ22" s="93"/>
      <c r="HA22" s="91"/>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42" t="str">
        <f>Donnees!$C$30</f>
        <v>Analyse - Projets : Fonctionnalités</v>
      </c>
      <c r="C23" s="95">
        <v>0</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88"/>
      <c r="IK23" s="86"/>
      <c r="IL23" s="87"/>
      <c r="IM23" s="88"/>
      <c r="IN23" s="86"/>
      <c r="IO23" s="87"/>
      <c r="IP23" s="88"/>
      <c r="IQ23" s="86"/>
      <c r="IR23" s="87"/>
      <c r="IS23" s="88"/>
      <c r="IT23" s="86"/>
      <c r="IU23" s="87"/>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39"/>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42" t="str">
        <f>Donnees!$C$31</f>
        <v>Décision - Tutoriel</v>
      </c>
      <c r="C25" s="95">
        <v>1</v>
      </c>
      <c r="D25" s="85"/>
      <c r="E25" s="86"/>
      <c r="F25" s="87"/>
      <c r="G25" s="88"/>
      <c r="H25" s="86"/>
      <c r="I25" s="87"/>
      <c r="J25" s="88"/>
      <c r="K25" s="86"/>
      <c r="L25" s="87"/>
      <c r="M25" s="88"/>
      <c r="N25" s="86"/>
      <c r="O25" s="87"/>
      <c r="P25" s="88"/>
      <c r="Q25" s="86"/>
      <c r="R25" s="87"/>
      <c r="S25" s="88"/>
      <c r="T25" s="86"/>
      <c r="U25" s="87"/>
      <c r="V25" s="88"/>
      <c r="W25" s="86"/>
      <c r="X25" s="87"/>
      <c r="Y25" s="88"/>
      <c r="Z25" s="86"/>
      <c r="AA25" s="87"/>
      <c r="AB25" s="109"/>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88"/>
      <c r="IW25" s="86"/>
      <c r="IX25" s="87"/>
      <c r="IY25" s="88"/>
      <c r="IZ25" s="86"/>
      <c r="JA25" s="87"/>
      <c r="JB25" s="88"/>
      <c r="JC25" s="86"/>
      <c r="JD25" s="87"/>
      <c r="JE25" s="88"/>
      <c r="JF25" s="86"/>
      <c r="JG25" s="87"/>
      <c r="JH25" s="88"/>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39"/>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42" t="str">
        <f>Donnees!$C$32</f>
        <v>Décision - Projets</v>
      </c>
      <c r="C27" s="95">
        <v>0</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85"/>
      <c r="LQ27" s="86"/>
      <c r="LR27" s="87"/>
      <c r="LS27" s="88"/>
      <c r="LT27" s="86"/>
      <c r="LU27" s="87"/>
      <c r="LV27" s="88"/>
      <c r="LW27" s="86"/>
      <c r="LX27" s="87"/>
      <c r="LY27" s="88"/>
      <c r="LZ27" s="86"/>
      <c r="MA27" s="87"/>
      <c r="MB27" s="88"/>
      <c r="MC27" s="86"/>
      <c r="MD27" s="87"/>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39"/>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42" t="str">
        <f>Donnees!$C$33</f>
        <v>Réalisation/Documentation - Tutoriel</v>
      </c>
      <c r="C29" s="95">
        <v>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86"/>
      <c r="JJ29" s="87"/>
      <c r="JK29" s="88"/>
      <c r="JL29" s="86"/>
      <c r="JM29" s="87"/>
      <c r="JN29" s="88"/>
      <c r="JO29" s="86"/>
      <c r="JP29" s="87"/>
      <c r="JQ29" s="88"/>
      <c r="JR29" s="86"/>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39"/>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42" t="str">
        <f>Donnees!$C$34</f>
        <v>Réalisation/Documentation - Tutoriel : Design</v>
      </c>
      <c r="C31" s="95">
        <v>12</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107"/>
      <c r="AM31" s="108"/>
      <c r="AN31" s="109"/>
      <c r="AO31" s="107"/>
      <c r="AP31" s="108"/>
      <c r="AQ31" s="109"/>
      <c r="AR31" s="107"/>
      <c r="AS31" s="108"/>
      <c r="AT31" s="109"/>
      <c r="AU31" s="107"/>
      <c r="AV31" s="108"/>
      <c r="AW31" s="109"/>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87"/>
      <c r="JT31" s="88"/>
      <c r="JU31" s="86"/>
      <c r="JV31" s="87"/>
      <c r="JW31" s="88"/>
      <c r="JX31" s="86"/>
      <c r="JY31" s="87"/>
      <c r="JZ31" s="88"/>
      <c r="KA31" s="86"/>
      <c r="KB31" s="87"/>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39"/>
      <c r="C32" s="96">
        <v>9</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115"/>
      <c r="AL32" s="113"/>
      <c r="AM32" s="114"/>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115"/>
      <c r="GI32" s="113"/>
      <c r="GJ32" s="114"/>
      <c r="GK32" s="115"/>
      <c r="GL32" s="113"/>
      <c r="GM32" s="114"/>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42" t="str">
        <f>Donnees!$C$35</f>
        <v>Réalisation/Documentation - Tutoriel : Structure</v>
      </c>
      <c r="C33" s="95">
        <v>9</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107"/>
      <c r="AD33" s="108"/>
      <c r="AE33" s="109"/>
      <c r="AF33" s="107"/>
      <c r="AG33" s="108"/>
      <c r="AH33" s="109"/>
      <c r="AI33" s="107"/>
      <c r="AJ33" s="108"/>
      <c r="AK33" s="109"/>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88"/>
      <c r="MF33" s="86"/>
      <c r="MG33" s="87"/>
      <c r="MH33" s="88"/>
      <c r="MI33" s="86"/>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39"/>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42" t="str">
        <f>Donnees!$C$36</f>
        <v>Réalisation/Documentation - Tutoriel : Contenu</v>
      </c>
      <c r="C35" s="95">
        <v>201</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109"/>
      <c r="DL35" s="107"/>
      <c r="DM35" s="108"/>
      <c r="DN35" s="109"/>
      <c r="DO35" s="107"/>
      <c r="DP35" s="108"/>
      <c r="DQ35" s="109"/>
      <c r="DR35" s="107"/>
      <c r="DS35" s="108"/>
      <c r="DT35" s="109"/>
      <c r="DU35" s="107"/>
      <c r="DV35" s="108"/>
      <c r="DW35" s="109"/>
      <c r="DX35" s="107"/>
      <c r="DY35" s="108"/>
      <c r="DZ35" s="109"/>
      <c r="EA35" s="107"/>
      <c r="EB35" s="108"/>
      <c r="EC35" s="109"/>
      <c r="ED35" s="107"/>
      <c r="EE35" s="108"/>
      <c r="EF35" s="109"/>
      <c r="EG35" s="107"/>
      <c r="EH35" s="108"/>
      <c r="EI35" s="109"/>
      <c r="EJ35" s="107"/>
      <c r="EK35" s="108"/>
      <c r="EL35" s="88"/>
      <c r="EM35" s="86"/>
      <c r="EN35" s="87"/>
      <c r="EO35" s="88"/>
      <c r="EP35" s="86"/>
      <c r="EQ35" s="87"/>
      <c r="ER35" s="88"/>
      <c r="ES35" s="86"/>
      <c r="ET35" s="87"/>
      <c r="EU35" s="109"/>
      <c r="EV35" s="107"/>
      <c r="EW35" s="108"/>
      <c r="EX35" s="109"/>
      <c r="EY35" s="107"/>
      <c r="EZ35" s="108"/>
      <c r="FA35" s="109"/>
      <c r="FB35" s="107"/>
      <c r="FC35" s="108"/>
      <c r="FD35" s="109"/>
      <c r="FE35" s="107"/>
      <c r="FF35" s="108"/>
      <c r="FG35" s="109"/>
      <c r="FH35" s="107"/>
      <c r="FI35" s="108"/>
      <c r="FJ35" s="109"/>
      <c r="FK35" s="107"/>
      <c r="FL35" s="108"/>
      <c r="FM35" s="109"/>
      <c r="FN35" s="107"/>
      <c r="FO35" s="108"/>
      <c r="FP35" s="109"/>
      <c r="FQ35" s="107"/>
      <c r="FR35" s="108"/>
      <c r="FS35" s="109"/>
      <c r="FT35" s="107"/>
      <c r="FU35" s="108"/>
      <c r="FV35" s="109"/>
      <c r="FW35" s="107"/>
      <c r="FX35" s="108"/>
      <c r="FY35" s="109"/>
      <c r="FZ35" s="107"/>
      <c r="GA35" s="108"/>
      <c r="GB35" s="109"/>
      <c r="GC35" s="107"/>
      <c r="GD35" s="108"/>
      <c r="GE35" s="109"/>
      <c r="GF35" s="107"/>
      <c r="GG35" s="108"/>
      <c r="GH35" s="109"/>
      <c r="GI35" s="107"/>
      <c r="GJ35" s="108"/>
      <c r="GK35" s="109"/>
      <c r="GL35" s="107"/>
      <c r="GM35" s="108"/>
      <c r="GN35" s="109"/>
      <c r="GO35" s="107"/>
      <c r="GP35" s="108"/>
      <c r="GQ35" s="109"/>
      <c r="GR35" s="107"/>
      <c r="GS35" s="108"/>
      <c r="GT35" s="109"/>
      <c r="GU35" s="107"/>
      <c r="GV35" s="108"/>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109"/>
      <c r="IK35" s="107"/>
      <c r="IL35" s="108"/>
      <c r="IM35" s="109"/>
      <c r="IN35" s="107"/>
      <c r="IO35" s="108"/>
      <c r="IP35" s="109"/>
      <c r="IQ35" s="107"/>
      <c r="IR35" s="108"/>
      <c r="IS35" s="109"/>
      <c r="IT35" s="107"/>
      <c r="IU35" s="108"/>
      <c r="IV35" s="109"/>
      <c r="IW35" s="107"/>
      <c r="IX35" s="108"/>
      <c r="IY35" s="109"/>
      <c r="IZ35" s="107"/>
      <c r="JA35" s="108"/>
      <c r="JB35" s="109"/>
      <c r="JC35" s="107"/>
      <c r="JD35" s="108"/>
      <c r="JE35" s="109"/>
      <c r="JF35" s="107"/>
      <c r="JG35" s="108"/>
      <c r="JH35" s="109"/>
      <c r="JI35" s="107"/>
      <c r="JJ35" s="108"/>
      <c r="JK35" s="109"/>
      <c r="JL35" s="107"/>
      <c r="JM35" s="108"/>
      <c r="JN35" s="109"/>
      <c r="JO35" s="107"/>
      <c r="JP35" s="108"/>
      <c r="JQ35" s="109"/>
      <c r="JR35" s="107"/>
      <c r="JS35" s="108"/>
      <c r="JT35" s="109"/>
      <c r="JU35" s="107"/>
      <c r="JV35" s="108"/>
      <c r="JW35" s="109"/>
      <c r="JX35" s="107"/>
      <c r="JY35" s="108"/>
      <c r="JZ35" s="109"/>
      <c r="KA35" s="107"/>
      <c r="KB35" s="108"/>
      <c r="KC35" s="109"/>
      <c r="KD35" s="107"/>
      <c r="KE35" s="108"/>
      <c r="KF35" s="88"/>
      <c r="KG35" s="86"/>
      <c r="KH35" s="87"/>
      <c r="KI35" s="88"/>
      <c r="KJ35" s="86"/>
      <c r="KK35" s="87"/>
      <c r="KL35" s="109"/>
      <c r="KM35" s="107"/>
      <c r="KN35" s="108"/>
      <c r="KO35" s="109"/>
      <c r="KP35" s="107"/>
      <c r="KQ35" s="108"/>
      <c r="KR35" s="109"/>
      <c r="KS35" s="107"/>
      <c r="KT35" s="108"/>
      <c r="KU35" s="109"/>
      <c r="KV35" s="107"/>
      <c r="KW35" s="108"/>
      <c r="KX35" s="109"/>
      <c r="KY35" s="107"/>
      <c r="KZ35" s="108"/>
      <c r="LA35" s="109"/>
      <c r="LB35" s="107"/>
      <c r="LC35" s="108"/>
      <c r="LD35" s="109"/>
      <c r="LE35" s="107"/>
      <c r="LF35" s="108"/>
      <c r="LG35" s="109"/>
      <c r="LH35" s="107"/>
      <c r="LI35" s="108"/>
      <c r="LJ35" s="109"/>
      <c r="LK35" s="107"/>
      <c r="LL35" s="108"/>
      <c r="LM35" s="109"/>
      <c r="LN35" s="107"/>
      <c r="LO35" s="110"/>
      <c r="LP35" s="106"/>
      <c r="LQ35" s="107"/>
      <c r="LR35" s="108"/>
      <c r="LS35" s="109"/>
      <c r="LT35" s="107"/>
      <c r="LU35" s="108"/>
      <c r="LV35" s="109"/>
      <c r="LW35" s="107"/>
      <c r="LX35" s="108"/>
      <c r="LY35" s="109"/>
      <c r="LZ35" s="107"/>
      <c r="MA35" s="108"/>
      <c r="MB35" s="109"/>
      <c r="MC35" s="107"/>
      <c r="MD35" s="108"/>
      <c r="ME35" s="109"/>
      <c r="MF35" s="107"/>
      <c r="MG35" s="108"/>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109"/>
      <c r="NG35" s="107"/>
      <c r="NH35" s="108"/>
      <c r="NI35" s="109"/>
      <c r="NJ35" s="107"/>
      <c r="NK35" s="108"/>
      <c r="NL35" s="109"/>
      <c r="NM35" s="107"/>
      <c r="NN35" s="108"/>
      <c r="NO35" s="109"/>
      <c r="NP35" s="107"/>
      <c r="NQ35" s="108"/>
      <c r="NR35" s="109"/>
      <c r="NS35" s="107"/>
      <c r="NT35" s="108"/>
      <c r="NU35" s="109"/>
      <c r="NV35" s="107"/>
      <c r="NW35" s="108"/>
      <c r="NX35" s="109"/>
      <c r="NY35" s="107"/>
      <c r="NZ35" s="108"/>
      <c r="OA35" s="109"/>
      <c r="OB35" s="107"/>
      <c r="OC35" s="108"/>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39"/>
      <c r="C36" s="96">
        <v>206</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115"/>
      <c r="AO36" s="113"/>
      <c r="AP36" s="114"/>
      <c r="AQ36" s="115"/>
      <c r="AR36" s="113"/>
      <c r="AS36" s="114"/>
      <c r="AT36" s="115"/>
      <c r="AU36" s="113"/>
      <c r="AV36" s="114"/>
      <c r="AW36" s="115"/>
      <c r="AX36" s="113"/>
      <c r="AY36" s="92"/>
      <c r="AZ36" s="115"/>
      <c r="BA36" s="113"/>
      <c r="BB36" s="114"/>
      <c r="BC36" s="115"/>
      <c r="BD36" s="113"/>
      <c r="BE36" s="114"/>
      <c r="BF36" s="115"/>
      <c r="BG36" s="113"/>
      <c r="BH36" s="114"/>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112"/>
      <c r="DI36" s="113"/>
      <c r="DJ36" s="114"/>
      <c r="DK36" s="115"/>
      <c r="DL36" s="113"/>
      <c r="DM36" s="114"/>
      <c r="DN36" s="115"/>
      <c r="DO36" s="113"/>
      <c r="DP36" s="114"/>
      <c r="DQ36" s="115"/>
      <c r="DR36" s="113"/>
      <c r="DS36" s="114"/>
      <c r="DT36" s="115"/>
      <c r="DU36" s="113"/>
      <c r="DV36" s="114"/>
      <c r="DW36" s="115"/>
      <c r="DX36" s="113"/>
      <c r="DY36" s="114"/>
      <c r="DZ36" s="115"/>
      <c r="EA36" s="113"/>
      <c r="EB36" s="114"/>
      <c r="EC36" s="115"/>
      <c r="ED36" s="113"/>
      <c r="EE36" s="114"/>
      <c r="EF36" s="115"/>
      <c r="EG36" s="113"/>
      <c r="EH36" s="114"/>
      <c r="EI36" s="115"/>
      <c r="EJ36" s="113"/>
      <c r="EK36" s="114"/>
      <c r="EL36" s="115"/>
      <c r="EM36" s="113"/>
      <c r="EN36" s="114"/>
      <c r="EO36" s="115"/>
      <c r="EP36" s="113"/>
      <c r="EQ36" s="114"/>
      <c r="ER36" s="115"/>
      <c r="ES36" s="113"/>
      <c r="ET36" s="114"/>
      <c r="EU36" s="115"/>
      <c r="EV36" s="113"/>
      <c r="EW36" s="114"/>
      <c r="EX36" s="115"/>
      <c r="EY36" s="113"/>
      <c r="EZ36" s="92"/>
      <c r="FA36" s="93"/>
      <c r="FB36" s="113"/>
      <c r="FC36" s="114"/>
      <c r="FD36" s="115"/>
      <c r="FE36" s="113"/>
      <c r="FF36" s="114"/>
      <c r="FG36" s="93"/>
      <c r="FH36" s="91"/>
      <c r="FI36" s="92"/>
      <c r="FJ36" s="93"/>
      <c r="FK36" s="91"/>
      <c r="FL36" s="92"/>
      <c r="FM36" s="93"/>
      <c r="FN36" s="91"/>
      <c r="FO36" s="92"/>
      <c r="FP36" s="115"/>
      <c r="FQ36" s="113"/>
      <c r="FR36" s="114"/>
      <c r="FS36" s="115"/>
      <c r="FT36" s="113"/>
      <c r="FU36" s="114"/>
      <c r="FV36" s="115"/>
      <c r="FW36" s="113"/>
      <c r="FX36" s="114"/>
      <c r="FY36" s="115"/>
      <c r="FZ36" s="113"/>
      <c r="GA36" s="114"/>
      <c r="GB36" s="115"/>
      <c r="GC36" s="113"/>
      <c r="GD36" s="114"/>
      <c r="GE36" s="115"/>
      <c r="GF36" s="113"/>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115"/>
      <c r="IK36" s="113"/>
      <c r="IL36" s="114"/>
      <c r="IM36" s="115"/>
      <c r="IN36" s="113"/>
      <c r="IO36" s="114"/>
      <c r="IP36" s="115"/>
      <c r="IQ36" s="113"/>
      <c r="IR36" s="114"/>
      <c r="IS36" s="115"/>
      <c r="IT36" s="113"/>
      <c r="IU36" s="114"/>
      <c r="IV36" s="115"/>
      <c r="IW36" s="113"/>
      <c r="IX36" s="114"/>
      <c r="IY36" s="115"/>
      <c r="IZ36" s="113"/>
      <c r="JA36" s="114"/>
      <c r="JB36" s="115"/>
      <c r="JC36" s="113"/>
      <c r="JD36" s="114"/>
      <c r="JE36" s="115"/>
      <c r="JF36" s="113"/>
      <c r="JG36" s="114"/>
      <c r="JH36" s="115"/>
      <c r="JI36" s="113"/>
      <c r="JJ36" s="114"/>
      <c r="JK36" s="115"/>
      <c r="JL36" s="113"/>
      <c r="JM36" s="114"/>
      <c r="JN36" s="115"/>
      <c r="JO36" s="113"/>
      <c r="JP36" s="114"/>
      <c r="JQ36" s="93"/>
      <c r="JR36" s="91"/>
      <c r="JS36" s="92"/>
      <c r="JT36" s="93"/>
      <c r="JU36" s="91"/>
      <c r="JV36" s="92"/>
      <c r="JW36" s="115"/>
      <c r="JX36" s="113"/>
      <c r="JY36" s="114"/>
      <c r="JZ36" s="93"/>
      <c r="KA36" s="113"/>
      <c r="KB36" s="114"/>
      <c r="KC36" s="115"/>
      <c r="KD36" s="113"/>
      <c r="KE36" s="114"/>
      <c r="KF36" s="93"/>
      <c r="KG36" s="91"/>
      <c r="KH36" s="92"/>
      <c r="KI36" s="93"/>
      <c r="KJ36" s="91"/>
      <c r="KK36" s="92"/>
      <c r="KL36" s="93"/>
      <c r="KM36" s="91"/>
      <c r="KN36" s="92"/>
      <c r="KO36" s="115"/>
      <c r="KP36" s="113"/>
      <c r="KQ36" s="114"/>
      <c r="KR36" s="115"/>
      <c r="KS36" s="113"/>
      <c r="KT36" s="114"/>
      <c r="KU36" s="115"/>
      <c r="KV36" s="113"/>
      <c r="KW36" s="114"/>
      <c r="KX36" s="115"/>
      <c r="KY36" s="113"/>
      <c r="KZ36" s="114"/>
      <c r="LA36" s="115"/>
      <c r="LB36" s="113"/>
      <c r="LC36" s="114"/>
      <c r="LD36" s="115"/>
      <c r="LE36" s="113"/>
      <c r="LF36" s="114"/>
      <c r="LG36" s="115"/>
      <c r="LH36" s="113"/>
      <c r="LI36" s="114"/>
      <c r="LJ36" s="115"/>
      <c r="LK36" s="113"/>
      <c r="LL36" s="114"/>
      <c r="LM36" s="93"/>
      <c r="LN36" s="91"/>
      <c r="LO36" s="94"/>
      <c r="LP36" s="112"/>
      <c r="LQ36" s="113"/>
      <c r="LR36" s="114"/>
      <c r="LS36" s="115"/>
      <c r="LT36" s="113"/>
      <c r="LU36" s="114"/>
      <c r="LV36" s="115"/>
      <c r="LW36" s="113"/>
      <c r="LX36" s="114"/>
      <c r="LY36" s="115"/>
      <c r="LZ36" s="113"/>
      <c r="MA36" s="114"/>
      <c r="MB36" s="115"/>
      <c r="MC36" s="113"/>
      <c r="MD36" s="114"/>
      <c r="ME36" s="115"/>
      <c r="MF36" s="113"/>
      <c r="MG36" s="114"/>
      <c r="MH36" s="115"/>
      <c r="MI36" s="113"/>
      <c r="MJ36" s="114"/>
      <c r="MK36" s="115"/>
      <c r="ML36" s="113"/>
      <c r="MM36" s="114"/>
      <c r="MN36" s="115"/>
      <c r="MO36" s="113"/>
      <c r="MP36" s="114"/>
      <c r="MQ36" s="115"/>
      <c r="MR36" s="113"/>
      <c r="MS36" s="114"/>
      <c r="MT36" s="115"/>
      <c r="MU36" s="113"/>
      <c r="MV36" s="114"/>
      <c r="MW36" s="115"/>
      <c r="MX36" s="113"/>
      <c r="MY36" s="114"/>
      <c r="MZ36" s="115"/>
      <c r="NA36" s="113"/>
      <c r="NB36" s="114"/>
      <c r="NC36" s="115"/>
      <c r="ND36" s="113"/>
      <c r="NE36" s="114"/>
      <c r="NF36" s="115"/>
      <c r="NG36" s="113"/>
      <c r="NH36" s="114"/>
      <c r="NI36" s="115"/>
      <c r="NJ36" s="113"/>
      <c r="NK36" s="114"/>
      <c r="NL36" s="115"/>
      <c r="NM36" s="113"/>
      <c r="NN36" s="114"/>
      <c r="NO36" s="115"/>
      <c r="NP36" s="113"/>
      <c r="NQ36" s="114"/>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114"/>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38" t="str">
        <f>Donnees!$C$37</f>
        <v>Réalisation - Développement : Kinect Draw</v>
      </c>
      <c r="C37" s="95">
        <v>6</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109"/>
      <c r="EP37" s="107"/>
      <c r="EQ37" s="108"/>
      <c r="ER37" s="109"/>
      <c r="ES37" s="107"/>
      <c r="ET37" s="108"/>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87"/>
      <c r="MK37" s="88"/>
      <c r="ML37" s="86"/>
      <c r="MM37" s="87"/>
      <c r="MN37" s="88"/>
      <c r="MO37" s="86"/>
      <c r="MP37" s="87"/>
      <c r="MQ37" s="88"/>
      <c r="MR37" s="86"/>
      <c r="MS37" s="87"/>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39"/>
      <c r="C38" s="96">
        <v>9</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115"/>
      <c r="FH38" s="113"/>
      <c r="FI38" s="114"/>
      <c r="FJ38" s="115"/>
      <c r="FK38" s="113"/>
      <c r="FL38" s="114"/>
      <c r="FM38" s="115"/>
      <c r="FN38" s="113"/>
      <c r="FO38" s="114"/>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38" t="str">
        <f>Donnees!$C$38</f>
        <v>Réalisation - Développement : Kinect PowerPoint</v>
      </c>
      <c r="C39" s="95">
        <v>6</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109"/>
      <c r="KG39" s="107"/>
      <c r="KH39" s="108"/>
      <c r="KI39" s="109"/>
      <c r="KJ39" s="107"/>
      <c r="KK39" s="108"/>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88"/>
      <c r="MU39" s="86"/>
      <c r="MV39" s="87"/>
      <c r="MW39" s="88"/>
      <c r="MX39" s="86"/>
      <c r="MY39" s="87"/>
      <c r="MZ39" s="88"/>
      <c r="NA39" s="86"/>
      <c r="NB39" s="87"/>
      <c r="NC39" s="88"/>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39"/>
      <c r="C40" s="96">
        <v>12</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115"/>
      <c r="JU40" s="113"/>
      <c r="JV40" s="114"/>
      <c r="JW40" s="93"/>
      <c r="JX40" s="91"/>
      <c r="JY40" s="92"/>
      <c r="JZ40" s="93"/>
      <c r="KA40" s="91"/>
      <c r="KB40" s="92"/>
      <c r="KC40" s="93"/>
      <c r="KD40" s="91"/>
      <c r="KE40" s="92"/>
      <c r="KF40" s="115"/>
      <c r="KG40" s="113"/>
      <c r="KH40" s="114"/>
      <c r="KI40" s="115"/>
      <c r="KJ40" s="113"/>
      <c r="KK40" s="114"/>
      <c r="KL40" s="115"/>
      <c r="KM40" s="113"/>
      <c r="KN40" s="114"/>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38" t="str">
        <f>Donnees!$C$39</f>
        <v>Réalisation - Développement : Kinect Ball</v>
      </c>
      <c r="C41" s="95">
        <v>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86"/>
      <c r="NE41" s="87"/>
      <c r="NF41" s="88"/>
      <c r="NG41" s="86"/>
      <c r="NH41" s="87"/>
      <c r="NI41" s="88"/>
      <c r="NJ41" s="86"/>
      <c r="NK41" s="87"/>
      <c r="NL41" s="88"/>
      <c r="NM41" s="86"/>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39"/>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42" t="str">
        <f>Donnees!$C$40</f>
        <v>Documentation</v>
      </c>
      <c r="C43" s="95">
        <v>97</v>
      </c>
      <c r="D43" s="85"/>
      <c r="E43" s="86"/>
      <c r="F43" s="87"/>
      <c r="G43" s="88"/>
      <c r="H43" s="86"/>
      <c r="I43" s="87"/>
      <c r="J43" s="88"/>
      <c r="K43" s="86"/>
      <c r="L43" s="87"/>
      <c r="M43" s="88"/>
      <c r="N43" s="86"/>
      <c r="O43" s="87"/>
      <c r="P43" s="88"/>
      <c r="Q43" s="86"/>
      <c r="R43" s="87"/>
      <c r="S43" s="88"/>
      <c r="T43" s="86"/>
      <c r="U43" s="87"/>
      <c r="V43" s="109"/>
      <c r="W43" s="107"/>
      <c r="X43" s="108"/>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108"/>
      <c r="AZ43" s="109"/>
      <c r="BA43" s="107"/>
      <c r="BB43" s="108"/>
      <c r="BC43" s="109"/>
      <c r="BD43" s="107"/>
      <c r="BE43" s="108"/>
      <c r="BF43" s="109"/>
      <c r="BG43" s="107"/>
      <c r="BH43" s="108"/>
      <c r="BI43" s="109"/>
      <c r="BJ43" s="107"/>
      <c r="BK43" s="108"/>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109"/>
      <c r="GX43" s="107"/>
      <c r="GY43" s="108"/>
      <c r="GZ43" s="109"/>
      <c r="HA43" s="107"/>
      <c r="HB43" s="108"/>
      <c r="HC43" s="109"/>
      <c r="HD43" s="107"/>
      <c r="HE43" s="108"/>
      <c r="HF43" s="109"/>
      <c r="HG43" s="107"/>
      <c r="HH43" s="108"/>
      <c r="HI43" s="109"/>
      <c r="HJ43" s="107"/>
      <c r="HK43" s="110"/>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109"/>
      <c r="MI43" s="107"/>
      <c r="MJ43" s="108"/>
      <c r="MK43" s="109"/>
      <c r="ML43" s="107"/>
      <c r="MM43" s="108"/>
      <c r="MN43" s="109"/>
      <c r="MO43" s="107"/>
      <c r="MP43" s="108"/>
      <c r="MQ43" s="109"/>
      <c r="MR43" s="107"/>
      <c r="MS43" s="108"/>
      <c r="MT43" s="109"/>
      <c r="MU43" s="107"/>
      <c r="MV43" s="108"/>
      <c r="MW43" s="109"/>
      <c r="MX43" s="107"/>
      <c r="MY43" s="108"/>
      <c r="MZ43" s="109"/>
      <c r="NA43" s="107"/>
      <c r="NB43" s="108"/>
      <c r="NC43" s="109"/>
      <c r="ND43" s="107"/>
      <c r="NE43" s="108"/>
      <c r="NF43" s="88"/>
      <c r="NG43" s="86"/>
      <c r="NH43" s="87"/>
      <c r="NI43" s="88"/>
      <c r="NJ43" s="86"/>
      <c r="NK43" s="87"/>
      <c r="NL43" s="88"/>
      <c r="NM43" s="86"/>
      <c r="NN43" s="87"/>
      <c r="NO43" s="88"/>
      <c r="NP43" s="86"/>
      <c r="NQ43" s="87"/>
      <c r="NR43" s="88"/>
      <c r="NS43" s="86"/>
      <c r="NT43" s="87"/>
      <c r="NU43" s="88"/>
      <c r="NV43" s="86"/>
      <c r="NW43" s="87"/>
      <c r="NX43" s="88"/>
      <c r="NY43" s="86"/>
      <c r="NZ43" s="87"/>
      <c r="OA43" s="88"/>
      <c r="OB43" s="86"/>
      <c r="OC43" s="87"/>
      <c r="OD43" s="109"/>
      <c r="OE43" s="107"/>
      <c r="OF43" s="108"/>
      <c r="OG43" s="109"/>
      <c r="OH43" s="107"/>
      <c r="OI43" s="108"/>
      <c r="OJ43" s="109"/>
      <c r="OK43" s="107"/>
      <c r="OL43" s="108"/>
      <c r="OM43" s="109"/>
      <c r="ON43" s="107"/>
      <c r="OO43" s="108"/>
      <c r="OP43" s="109"/>
      <c r="OQ43" s="107"/>
      <c r="OR43" s="108"/>
      <c r="OS43" s="109"/>
      <c r="OT43" s="107"/>
      <c r="OU43" s="108"/>
      <c r="OV43" s="109"/>
      <c r="OW43" s="107"/>
      <c r="OX43" s="108"/>
      <c r="OY43" s="109"/>
      <c r="OZ43" s="107"/>
      <c r="PA43" s="108"/>
      <c r="PB43" s="109"/>
      <c r="PC43" s="107"/>
      <c r="PD43" s="108"/>
      <c r="PE43" s="109"/>
      <c r="PF43" s="107"/>
      <c r="PG43" s="108"/>
      <c r="PH43" s="109"/>
      <c r="PI43" s="107"/>
      <c r="PJ43" s="108"/>
      <c r="PK43" s="109"/>
      <c r="PL43" s="107"/>
      <c r="PM43" s="108"/>
      <c r="PN43" s="109"/>
      <c r="PO43" s="107"/>
      <c r="PP43" s="108"/>
      <c r="PQ43" s="109"/>
      <c r="PR43" s="107"/>
      <c r="PS43" s="110"/>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39"/>
      <c r="C44" s="96">
        <v>106</v>
      </c>
      <c r="D44" s="90"/>
      <c r="E44" s="91"/>
      <c r="F44" s="92"/>
      <c r="G44" s="93"/>
      <c r="H44" s="91"/>
      <c r="I44" s="92"/>
      <c r="J44" s="93"/>
      <c r="K44" s="91"/>
      <c r="L44" s="92"/>
      <c r="M44" s="93"/>
      <c r="N44" s="91"/>
      <c r="O44" s="92"/>
      <c r="P44" s="93"/>
      <c r="Q44" s="91"/>
      <c r="R44" s="92"/>
      <c r="S44" s="115"/>
      <c r="T44" s="113"/>
      <c r="U44" s="114"/>
      <c r="V44" s="115"/>
      <c r="W44" s="113"/>
      <c r="X44" s="114"/>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114"/>
      <c r="AZ44" s="93"/>
      <c r="BA44" s="91"/>
      <c r="BB44" s="92"/>
      <c r="BC44" s="93"/>
      <c r="BD44" s="91"/>
      <c r="BE44" s="92"/>
      <c r="BF44" s="93"/>
      <c r="BG44" s="91"/>
      <c r="BH44" s="92"/>
      <c r="BI44" s="115"/>
      <c r="BJ44" s="113"/>
      <c r="BK44" s="114"/>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114"/>
      <c r="FA44" s="115"/>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113"/>
      <c r="GP44" s="114"/>
      <c r="GQ44" s="115"/>
      <c r="GR44" s="113"/>
      <c r="GS44" s="114"/>
      <c r="GT44" s="93"/>
      <c r="GU44" s="91"/>
      <c r="GV44" s="92"/>
      <c r="GW44" s="93"/>
      <c r="GX44" s="91"/>
      <c r="GY44" s="92"/>
      <c r="GZ44" s="93"/>
      <c r="HA44" s="91"/>
      <c r="HB44" s="92"/>
      <c r="HC44" s="93"/>
      <c r="HD44" s="91"/>
      <c r="HE44" s="92"/>
      <c r="HF44" s="115"/>
      <c r="HG44" s="113"/>
      <c r="HH44" s="114"/>
      <c r="HI44" s="115"/>
      <c r="HJ44" s="113"/>
      <c r="HK44" s="116"/>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115"/>
      <c r="JR44" s="113"/>
      <c r="JS44" s="114"/>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115"/>
      <c r="LN44" s="113"/>
      <c r="LO44" s="116"/>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115"/>
      <c r="NS44" s="113"/>
      <c r="NT44" s="114"/>
      <c r="NU44" s="115"/>
      <c r="NV44" s="113"/>
      <c r="NW44" s="114"/>
      <c r="NX44" s="115"/>
      <c r="NY44" s="113"/>
      <c r="NZ44" s="114"/>
      <c r="OA44" s="115"/>
      <c r="OB44" s="113"/>
      <c r="OC44" s="114"/>
      <c r="OD44" s="115"/>
      <c r="OE44" s="113"/>
      <c r="OF44" s="114"/>
      <c r="OG44" s="115"/>
      <c r="OH44" s="113"/>
      <c r="OI44" s="114"/>
      <c r="OJ44" s="115"/>
      <c r="OK44" s="113"/>
      <c r="OL44" s="114"/>
      <c r="OM44" s="115"/>
      <c r="ON44" s="113"/>
      <c r="OO44" s="114"/>
      <c r="OP44" s="115"/>
      <c r="OQ44" s="113"/>
      <c r="OR44" s="114"/>
      <c r="OS44" s="115"/>
      <c r="OT44" s="113"/>
      <c r="OU44" s="92"/>
      <c r="OV44" s="115"/>
      <c r="OW44" s="113"/>
      <c r="OX44" s="114"/>
      <c r="OY44" s="115"/>
      <c r="OZ44" s="113"/>
      <c r="PA44" s="114"/>
      <c r="PB44" s="115"/>
      <c r="PC44" s="113"/>
      <c r="PD44" s="114"/>
      <c r="PE44" s="115"/>
      <c r="PF44" s="113"/>
      <c r="PG44" s="114"/>
      <c r="PH44" s="115"/>
      <c r="PI44" s="113"/>
      <c r="PJ44" s="114"/>
      <c r="PK44" s="115"/>
      <c r="PL44" s="113"/>
      <c r="PM44" s="114"/>
      <c r="PN44" s="115"/>
      <c r="PO44" s="113"/>
      <c r="PP44" s="114"/>
      <c r="PQ44" s="115"/>
      <c r="PR44" s="113"/>
      <c r="PS44" s="116"/>
      <c r="PT44" s="112"/>
      <c r="PU44" s="113"/>
      <c r="PV44" s="114"/>
      <c r="PW44" s="115"/>
      <c r="PX44" s="113"/>
      <c r="PY44" s="114"/>
      <c r="PZ44" s="115"/>
      <c r="QA44" s="113"/>
      <c r="QB44" s="114"/>
      <c r="QC44" s="115"/>
      <c r="QD44" s="113"/>
      <c r="QE44" s="114"/>
      <c r="QF44" s="115"/>
      <c r="QG44" s="113"/>
      <c r="QH44" s="114"/>
      <c r="QI44" s="115"/>
      <c r="QJ44" s="113"/>
      <c r="QK44" s="114"/>
      <c r="QL44" s="115"/>
      <c r="QM44" s="113"/>
      <c r="QN44" s="114"/>
      <c r="QO44" s="115"/>
      <c r="QP44" s="113"/>
      <c r="QQ44" s="114"/>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42" t="str">
        <f>Donnees!$C$41</f>
        <v>Evaluation</v>
      </c>
      <c r="C45" s="95">
        <v>24</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88"/>
      <c r="NY45" s="86"/>
      <c r="NZ45" s="87"/>
      <c r="OA45" s="88"/>
      <c r="OB45" s="86"/>
      <c r="OC45" s="87"/>
      <c r="OD45" s="88"/>
      <c r="OE45" s="86"/>
      <c r="OF45" s="87"/>
      <c r="OG45" s="88"/>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106"/>
      <c r="PU45" s="107"/>
      <c r="PV45" s="108"/>
      <c r="PW45" s="109"/>
      <c r="PX45" s="107"/>
      <c r="PY45" s="108"/>
      <c r="PZ45" s="109"/>
      <c r="QA45" s="107"/>
      <c r="QB45" s="108"/>
      <c r="QC45" s="109"/>
      <c r="QD45" s="107"/>
      <c r="QE45" s="108"/>
      <c r="QF45" s="109"/>
      <c r="QG45" s="107"/>
      <c r="QH45" s="108"/>
      <c r="QI45" s="109"/>
      <c r="QJ45" s="107"/>
      <c r="QK45" s="108"/>
      <c r="QL45" s="109"/>
      <c r="QM45" s="107"/>
      <c r="QN45" s="108"/>
      <c r="QO45" s="109"/>
      <c r="QP45" s="107"/>
      <c r="QQ45" s="108"/>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x14ac:dyDescent="0.2">
      <c r="B46" s="139"/>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47" t="s">
        <v>16</v>
      </c>
      <c r="C47" s="49">
        <f>SUM($C$3,$C$5,$C$7,$C$9,$C$11,$C$13,$C$15,$C$17,$C$19,$C$21,$C$23,$C$25,$C$27,$C$29,$C$31,$C$33,$C$35,$C$37,$C$39,$C$41,$C$43,$C$45)</f>
        <v>540</v>
      </c>
      <c r="D47" s="98"/>
      <c r="E47" s="99"/>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H47" s="99"/>
      <c r="AI47" s="99"/>
      <c r="AJ47" s="99"/>
      <c r="AK47" s="99"/>
      <c r="AL47" s="99"/>
      <c r="AM47" s="99"/>
      <c r="AN47" s="99"/>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100"/>
      <c r="DH47" s="98"/>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100"/>
      <c r="HL47" s="98"/>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100"/>
      <c r="LP47" s="98"/>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c r="OK47" s="99"/>
      <c r="OL47" s="99"/>
      <c r="OM47" s="99"/>
      <c r="ON47" s="99"/>
      <c r="OO47" s="99"/>
      <c r="OP47" s="99"/>
      <c r="OQ47" s="99"/>
      <c r="OR47" s="99"/>
      <c r="OS47" s="99"/>
      <c r="OT47" s="99"/>
      <c r="OU47" s="99"/>
      <c r="OV47" s="99"/>
      <c r="OW47" s="99"/>
      <c r="OX47" s="99"/>
      <c r="OY47" s="99"/>
      <c r="OZ47" s="99"/>
      <c r="PA47" s="99"/>
      <c r="PB47" s="99"/>
      <c r="PC47" s="99"/>
      <c r="PD47" s="99"/>
      <c r="PE47" s="99"/>
      <c r="PF47" s="99"/>
      <c r="PG47" s="99"/>
      <c r="PH47" s="99"/>
      <c r="PI47" s="99"/>
      <c r="PJ47" s="99"/>
      <c r="PK47" s="99"/>
      <c r="PL47" s="99"/>
      <c r="PM47" s="99"/>
      <c r="PN47" s="99"/>
      <c r="PO47" s="99"/>
      <c r="PP47" s="99"/>
      <c r="PQ47" s="99"/>
      <c r="PR47" s="99"/>
      <c r="PS47" s="100"/>
      <c r="PT47" s="98"/>
      <c r="PU47" s="99"/>
      <c r="PV47" s="99"/>
      <c r="PW47" s="99"/>
      <c r="PX47" s="99"/>
      <c r="PY47" s="99"/>
      <c r="PZ47" s="99"/>
      <c r="QA47" s="99"/>
      <c r="QB47" s="99"/>
      <c r="QC47" s="99"/>
      <c r="QD47" s="99"/>
      <c r="QE47" s="99"/>
      <c r="QF47" s="99"/>
      <c r="QG47" s="99"/>
      <c r="QH47" s="99"/>
      <c r="QI47" s="99"/>
      <c r="QJ47" s="99"/>
      <c r="QK47" s="99"/>
      <c r="QL47" s="99"/>
      <c r="QM47" s="99"/>
      <c r="QN47" s="99"/>
      <c r="QO47" s="99"/>
      <c r="QP47" s="99"/>
      <c r="QQ47" s="99"/>
      <c r="QR47" s="99"/>
      <c r="QS47" s="99"/>
      <c r="QT47" s="99"/>
      <c r="QU47" s="99"/>
      <c r="QV47" s="99"/>
      <c r="QW47" s="99"/>
      <c r="QX47" s="99"/>
      <c r="QY47" s="99"/>
      <c r="QZ47" s="99"/>
      <c r="RA47" s="99"/>
      <c r="RB47" s="99"/>
      <c r="RC47" s="99"/>
      <c r="RD47" s="99"/>
      <c r="RE47" s="99"/>
      <c r="RF47" s="99"/>
      <c r="RG47" s="99"/>
      <c r="RH47" s="99"/>
      <c r="RI47" s="99"/>
      <c r="RJ47" s="99"/>
      <c r="RK47" s="99"/>
      <c r="RL47" s="99"/>
      <c r="RM47" s="99"/>
      <c r="RN47" s="99"/>
      <c r="RO47" s="99"/>
      <c r="RP47" s="99"/>
      <c r="RQ47" s="99"/>
      <c r="RR47" s="99"/>
      <c r="RS47" s="99"/>
      <c r="RT47" s="99"/>
      <c r="RU47" s="99"/>
      <c r="RV47" s="99"/>
      <c r="RW47" s="99"/>
      <c r="RX47" s="99"/>
      <c r="RY47" s="99"/>
      <c r="RZ47" s="99"/>
      <c r="SA47" s="99"/>
      <c r="SB47" s="99"/>
      <c r="SC47" s="99"/>
      <c r="SD47" s="99"/>
      <c r="SE47" s="99"/>
      <c r="SF47" s="99"/>
      <c r="SG47" s="99"/>
      <c r="SH47" s="99"/>
      <c r="SI47" s="99"/>
      <c r="SJ47" s="99"/>
      <c r="SK47" s="99"/>
      <c r="SL47" s="99"/>
      <c r="SM47" s="99"/>
      <c r="SN47" s="99"/>
      <c r="SO47" s="99"/>
      <c r="SP47" s="99"/>
      <c r="SQ47" s="99"/>
      <c r="SR47" s="99"/>
      <c r="SS47" s="99"/>
      <c r="ST47" s="99"/>
      <c r="SU47" s="99"/>
      <c r="SV47" s="99"/>
      <c r="SW47" s="99"/>
      <c r="SX47" s="99"/>
      <c r="SY47" s="99"/>
      <c r="SZ47" s="99"/>
      <c r="TA47" s="99"/>
      <c r="TB47" s="99"/>
      <c r="TC47" s="99"/>
      <c r="TD47" s="99"/>
      <c r="TE47" s="99"/>
      <c r="TF47" s="99"/>
      <c r="TG47" s="99"/>
      <c r="TH47" s="99"/>
      <c r="TI47" s="99"/>
      <c r="TJ47" s="99"/>
      <c r="TK47" s="99"/>
      <c r="TL47" s="99"/>
      <c r="TM47" s="99"/>
      <c r="TN47" s="99"/>
      <c r="TO47" s="99"/>
      <c r="TP47" s="99"/>
      <c r="TQ47" s="99"/>
      <c r="TR47" s="99"/>
      <c r="TS47" s="99"/>
      <c r="TT47" s="99"/>
      <c r="TU47" s="99"/>
      <c r="TV47" s="99"/>
      <c r="TW47" s="100"/>
    </row>
    <row r="48" spans="2:543" ht="19.5" customHeight="1" thickBot="1" x14ac:dyDescent="0.25">
      <c r="B48" s="48" t="s">
        <v>17</v>
      </c>
      <c r="C48" s="50">
        <f>SUM($C$4,$C$6,$C$8,$C$10,$C$12,$C$14,$C$16,$C$18,$C$20,$C$22,$C$24,$C$26,$C$28,$C$30,$C$32,$C$34,$C$36,$C$38,$C$40,$C$42,$C$44,$C$46)</f>
        <v>540</v>
      </c>
      <c r="D48" s="101"/>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c r="CO48" s="102"/>
      <c r="CP48" s="102"/>
      <c r="CQ48" s="102"/>
      <c r="CR48" s="102"/>
      <c r="CS48" s="102"/>
      <c r="CT48" s="102"/>
      <c r="CU48" s="102"/>
      <c r="CV48" s="102"/>
      <c r="CW48" s="102"/>
      <c r="CX48" s="102"/>
      <c r="CY48" s="102"/>
      <c r="CZ48" s="102"/>
      <c r="DA48" s="102"/>
      <c r="DB48" s="102"/>
      <c r="DC48" s="102"/>
      <c r="DD48" s="102"/>
      <c r="DE48" s="102"/>
      <c r="DF48" s="102"/>
      <c r="DG48" s="103"/>
      <c r="DH48" s="101"/>
      <c r="DI48" s="102"/>
      <c r="DJ48" s="102"/>
      <c r="DK48" s="102"/>
      <c r="DL48" s="102"/>
      <c r="DM48" s="102"/>
      <c r="DN48" s="102"/>
      <c r="DO48" s="102"/>
      <c r="DP48" s="102"/>
      <c r="DQ48" s="102"/>
      <c r="DR48" s="102"/>
      <c r="DS48" s="102"/>
      <c r="DT48" s="102"/>
      <c r="DU48" s="102"/>
      <c r="DV48" s="102"/>
      <c r="DW48" s="102"/>
      <c r="DX48" s="102"/>
      <c r="DY48" s="102"/>
      <c r="DZ48" s="102"/>
      <c r="EA48" s="102"/>
      <c r="EB48" s="102"/>
      <c r="EC48" s="102"/>
      <c r="ED48" s="102"/>
      <c r="EE48" s="102"/>
      <c r="EF48" s="102"/>
      <c r="EG48" s="102"/>
      <c r="EH48" s="102"/>
      <c r="EI48" s="102"/>
      <c r="EJ48" s="102"/>
      <c r="EK48" s="102"/>
      <c r="EL48" s="102"/>
      <c r="EM48" s="102"/>
      <c r="EN48" s="102"/>
      <c r="EO48" s="102"/>
      <c r="EP48" s="102"/>
      <c r="EQ48" s="102"/>
      <c r="ER48" s="102"/>
      <c r="ES48" s="102"/>
      <c r="ET48" s="102"/>
      <c r="EU48" s="102"/>
      <c r="EV48" s="102"/>
      <c r="EW48" s="102"/>
      <c r="EX48" s="102"/>
      <c r="EY48" s="102"/>
      <c r="EZ48" s="102"/>
      <c r="FA48" s="102"/>
      <c r="FB48" s="102"/>
      <c r="FC48" s="102"/>
      <c r="FD48" s="102"/>
      <c r="FE48" s="102"/>
      <c r="FF48" s="102"/>
      <c r="FG48" s="102"/>
      <c r="FH48" s="102"/>
      <c r="FI48" s="102"/>
      <c r="FJ48" s="102"/>
      <c r="FK48" s="102"/>
      <c r="FL48" s="102"/>
      <c r="FM48" s="102"/>
      <c r="FN48" s="102"/>
      <c r="FO48" s="102"/>
      <c r="FP48" s="102"/>
      <c r="FQ48" s="102"/>
      <c r="FR48" s="102"/>
      <c r="FS48" s="102"/>
      <c r="FT48" s="102"/>
      <c r="FU48" s="102"/>
      <c r="FV48" s="102"/>
      <c r="FW48" s="102"/>
      <c r="FX48" s="102"/>
      <c r="FY48" s="102"/>
      <c r="FZ48" s="102"/>
      <c r="GA48" s="102"/>
      <c r="GB48" s="102"/>
      <c r="GC48" s="102"/>
      <c r="GD48" s="102"/>
      <c r="GE48" s="102"/>
      <c r="GF48" s="102"/>
      <c r="GG48" s="102"/>
      <c r="GH48" s="102"/>
      <c r="GI48" s="102"/>
      <c r="GJ48" s="102"/>
      <c r="GK48" s="102"/>
      <c r="GL48" s="102"/>
      <c r="GM48" s="102"/>
      <c r="GN48" s="102"/>
      <c r="GO48" s="102"/>
      <c r="GP48" s="102"/>
      <c r="GQ48" s="102"/>
      <c r="GR48" s="102"/>
      <c r="GS48" s="102"/>
      <c r="GT48" s="102"/>
      <c r="GU48" s="102"/>
      <c r="GV48" s="102"/>
      <c r="GW48" s="102"/>
      <c r="GX48" s="102"/>
      <c r="GY48" s="102"/>
      <c r="GZ48" s="102"/>
      <c r="HA48" s="102"/>
      <c r="HB48" s="102"/>
      <c r="HC48" s="102"/>
      <c r="HD48" s="102"/>
      <c r="HE48" s="102"/>
      <c r="HF48" s="102"/>
      <c r="HG48" s="102"/>
      <c r="HH48" s="102"/>
      <c r="HI48" s="102"/>
      <c r="HJ48" s="102"/>
      <c r="HK48" s="103"/>
      <c r="HL48" s="101"/>
      <c r="HM48" s="102"/>
      <c r="HN48" s="102"/>
      <c r="HO48" s="102"/>
      <c r="HP48" s="102"/>
      <c r="HQ48" s="102"/>
      <c r="HR48" s="102"/>
      <c r="HS48" s="102"/>
      <c r="HT48" s="102"/>
      <c r="HU48" s="102"/>
      <c r="HV48" s="102"/>
      <c r="HW48" s="102"/>
      <c r="HX48" s="102"/>
      <c r="HY48" s="102"/>
      <c r="HZ48" s="102"/>
      <c r="IA48" s="102"/>
      <c r="IB48" s="102"/>
      <c r="IC48" s="102"/>
      <c r="ID48" s="102"/>
      <c r="IE48" s="102"/>
      <c r="IF48" s="102"/>
      <c r="IG48" s="102"/>
      <c r="IH48" s="102"/>
      <c r="II48" s="102"/>
      <c r="IJ48" s="102"/>
      <c r="IK48" s="102"/>
      <c r="IL48" s="102"/>
      <c r="IM48" s="102"/>
      <c r="IN48" s="102"/>
      <c r="IO48" s="102"/>
      <c r="IP48" s="102"/>
      <c r="IQ48" s="102"/>
      <c r="IR48" s="102"/>
      <c r="IS48" s="102"/>
      <c r="IT48" s="102"/>
      <c r="IU48" s="102"/>
      <c r="IV48" s="102"/>
      <c r="IW48" s="102"/>
      <c r="IX48" s="102"/>
      <c r="IY48" s="102"/>
      <c r="IZ48" s="102"/>
      <c r="JA48" s="102"/>
      <c r="JB48" s="102"/>
      <c r="JC48" s="102"/>
      <c r="JD48" s="102"/>
      <c r="JE48" s="102"/>
      <c r="JF48" s="102"/>
      <c r="JG48" s="102"/>
      <c r="JH48" s="102"/>
      <c r="JI48" s="102"/>
      <c r="JJ48" s="102"/>
      <c r="JK48" s="102"/>
      <c r="JL48" s="102"/>
      <c r="JM48" s="102"/>
      <c r="JN48" s="102"/>
      <c r="JO48" s="102"/>
      <c r="JP48" s="102"/>
      <c r="JQ48" s="102"/>
      <c r="JR48" s="102"/>
      <c r="JS48" s="102"/>
      <c r="JT48" s="102"/>
      <c r="JU48" s="102"/>
      <c r="JV48" s="102"/>
      <c r="JW48" s="102"/>
      <c r="JX48" s="102"/>
      <c r="JY48" s="102"/>
      <c r="JZ48" s="102"/>
      <c r="KA48" s="102"/>
      <c r="KB48" s="102"/>
      <c r="KC48" s="102"/>
      <c r="KD48" s="102"/>
      <c r="KE48" s="102"/>
      <c r="KF48" s="102"/>
      <c r="KG48" s="102"/>
      <c r="KH48" s="102"/>
      <c r="KI48" s="102"/>
      <c r="KJ48" s="102"/>
      <c r="KK48" s="102"/>
      <c r="KL48" s="102"/>
      <c r="KM48" s="102"/>
      <c r="KN48" s="102"/>
      <c r="KO48" s="102"/>
      <c r="KP48" s="102"/>
      <c r="KQ48" s="102"/>
      <c r="KR48" s="102"/>
      <c r="KS48" s="102"/>
      <c r="KT48" s="102"/>
      <c r="KU48" s="102"/>
      <c r="KV48" s="102"/>
      <c r="KW48" s="102"/>
      <c r="KX48" s="102"/>
      <c r="KY48" s="102"/>
      <c r="KZ48" s="102"/>
      <c r="LA48" s="102"/>
      <c r="LB48" s="102"/>
      <c r="LC48" s="102"/>
      <c r="LD48" s="102"/>
      <c r="LE48" s="102"/>
      <c r="LF48" s="102"/>
      <c r="LG48" s="102"/>
      <c r="LH48" s="102"/>
      <c r="LI48" s="102"/>
      <c r="LJ48" s="102"/>
      <c r="LK48" s="102"/>
      <c r="LL48" s="102"/>
      <c r="LM48" s="102"/>
      <c r="LN48" s="102"/>
      <c r="LO48" s="103"/>
      <c r="LP48" s="101"/>
      <c r="LQ48" s="102"/>
      <c r="LR48" s="102"/>
      <c r="LS48" s="102"/>
      <c r="LT48" s="102"/>
      <c r="LU48" s="102"/>
      <c r="LV48" s="102"/>
      <c r="LW48" s="102"/>
      <c r="LX48" s="102"/>
      <c r="LY48" s="102"/>
      <c r="LZ48" s="102"/>
      <c r="MA48" s="102"/>
      <c r="MB48" s="102"/>
      <c r="MC48" s="102"/>
      <c r="MD48" s="102"/>
      <c r="ME48" s="102"/>
      <c r="MF48" s="102"/>
      <c r="MG48" s="102"/>
      <c r="MH48" s="102"/>
      <c r="MI48" s="102"/>
      <c r="MJ48" s="102"/>
      <c r="MK48" s="102"/>
      <c r="ML48" s="102"/>
      <c r="MM48" s="102"/>
      <c r="MN48" s="102"/>
      <c r="MO48" s="102"/>
      <c r="MP48" s="102"/>
      <c r="MQ48" s="102"/>
      <c r="MR48" s="102"/>
      <c r="MS48" s="102"/>
      <c r="MT48" s="102"/>
      <c r="MU48" s="102"/>
      <c r="MV48" s="102"/>
      <c r="MW48" s="102"/>
      <c r="MX48" s="102"/>
      <c r="MY48" s="102"/>
      <c r="MZ48" s="102"/>
      <c r="NA48" s="102"/>
      <c r="NB48" s="102"/>
      <c r="NC48" s="102"/>
      <c r="ND48" s="102"/>
      <c r="NE48" s="102"/>
      <c r="NF48" s="102"/>
      <c r="NG48" s="102"/>
      <c r="NH48" s="102"/>
      <c r="NI48" s="102"/>
      <c r="NJ48" s="102"/>
      <c r="NK48" s="102"/>
      <c r="NL48" s="102"/>
      <c r="NM48" s="102"/>
      <c r="NN48" s="102"/>
      <c r="NO48" s="102"/>
      <c r="NP48" s="102"/>
      <c r="NQ48" s="102"/>
      <c r="NR48" s="102"/>
      <c r="NS48" s="102"/>
      <c r="NT48" s="102"/>
      <c r="NU48" s="102"/>
      <c r="NV48" s="102"/>
      <c r="NW48" s="102"/>
      <c r="NX48" s="102"/>
      <c r="NY48" s="102"/>
      <c r="NZ48" s="102"/>
      <c r="OA48" s="102"/>
      <c r="OB48" s="102"/>
      <c r="OC48" s="102"/>
      <c r="OD48" s="102"/>
      <c r="OE48" s="102"/>
      <c r="OF48" s="102"/>
      <c r="OG48" s="102"/>
      <c r="OH48" s="102"/>
      <c r="OI48" s="102"/>
      <c r="OJ48" s="102"/>
      <c r="OK48" s="102"/>
      <c r="OL48" s="102"/>
      <c r="OM48" s="102"/>
      <c r="ON48" s="102"/>
      <c r="OO48" s="102"/>
      <c r="OP48" s="102"/>
      <c r="OQ48" s="102"/>
      <c r="OR48" s="102"/>
      <c r="OS48" s="102"/>
      <c r="OT48" s="102"/>
      <c r="OU48" s="102"/>
      <c r="OV48" s="102"/>
      <c r="OW48" s="102"/>
      <c r="OX48" s="102"/>
      <c r="OY48" s="102"/>
      <c r="OZ48" s="102"/>
      <c r="PA48" s="102"/>
      <c r="PB48" s="102"/>
      <c r="PC48" s="102"/>
      <c r="PD48" s="102"/>
      <c r="PE48" s="102"/>
      <c r="PF48" s="102"/>
      <c r="PG48" s="102"/>
      <c r="PH48" s="102"/>
      <c r="PI48" s="102"/>
      <c r="PJ48" s="102"/>
      <c r="PK48" s="102"/>
      <c r="PL48" s="102"/>
      <c r="PM48" s="102"/>
      <c r="PN48" s="102"/>
      <c r="PO48" s="102"/>
      <c r="PP48" s="102"/>
      <c r="PQ48" s="102"/>
      <c r="PR48" s="102"/>
      <c r="PS48" s="103"/>
      <c r="PT48" s="101"/>
      <c r="PU48" s="102"/>
      <c r="PV48" s="102"/>
      <c r="PW48" s="102"/>
      <c r="PX48" s="102"/>
      <c r="PY48" s="102"/>
      <c r="PZ48" s="102"/>
      <c r="QA48" s="102"/>
      <c r="QB48" s="102"/>
      <c r="QC48" s="102"/>
      <c r="QD48" s="102"/>
      <c r="QE48" s="102"/>
      <c r="QF48" s="102"/>
      <c r="QG48" s="102"/>
      <c r="QH48" s="102"/>
      <c r="QI48" s="102"/>
      <c r="QJ48" s="102"/>
      <c r="QK48" s="102"/>
      <c r="QL48" s="102"/>
      <c r="QM48" s="102"/>
      <c r="QN48" s="102"/>
      <c r="QO48" s="102"/>
      <c r="QP48" s="102"/>
      <c r="QQ48" s="102"/>
      <c r="QR48" s="102"/>
      <c r="QS48" s="102"/>
      <c r="QT48" s="102"/>
      <c r="QU48" s="102"/>
      <c r="QV48" s="102"/>
      <c r="QW48" s="102"/>
      <c r="QX48" s="102"/>
      <c r="QY48" s="102"/>
      <c r="QZ48" s="102"/>
      <c r="RA48" s="102"/>
      <c r="RB48" s="102"/>
      <c r="RC48" s="102"/>
      <c r="RD48" s="102"/>
      <c r="RE48" s="102"/>
      <c r="RF48" s="102"/>
      <c r="RG48" s="102"/>
      <c r="RH48" s="102"/>
      <c r="RI48" s="102"/>
      <c r="RJ48" s="102"/>
      <c r="RK48" s="102"/>
      <c r="RL48" s="102"/>
      <c r="RM48" s="102"/>
      <c r="RN48" s="102"/>
      <c r="RO48" s="102"/>
      <c r="RP48" s="102"/>
      <c r="RQ48" s="102"/>
      <c r="RR48" s="102"/>
      <c r="RS48" s="102"/>
      <c r="RT48" s="102"/>
      <c r="RU48" s="102"/>
      <c r="RV48" s="102"/>
      <c r="RW48" s="102"/>
      <c r="RX48" s="102"/>
      <c r="RY48" s="102"/>
      <c r="RZ48" s="102"/>
      <c r="SA48" s="102"/>
      <c r="SB48" s="102"/>
      <c r="SC48" s="102"/>
      <c r="SD48" s="102"/>
      <c r="SE48" s="102"/>
      <c r="SF48" s="102"/>
      <c r="SG48" s="102"/>
      <c r="SH48" s="102"/>
      <c r="SI48" s="102"/>
      <c r="SJ48" s="102"/>
      <c r="SK48" s="102"/>
      <c r="SL48" s="102"/>
      <c r="SM48" s="102"/>
      <c r="SN48" s="102"/>
      <c r="SO48" s="102"/>
      <c r="SP48" s="102"/>
      <c r="SQ48" s="102"/>
      <c r="SR48" s="102"/>
      <c r="SS48" s="102"/>
      <c r="ST48" s="102"/>
      <c r="SU48" s="102"/>
      <c r="SV48" s="102"/>
      <c r="SW48" s="102"/>
      <c r="SX48" s="102"/>
      <c r="SY48" s="102"/>
      <c r="SZ48" s="102"/>
      <c r="TA48" s="102"/>
      <c r="TB48" s="102"/>
      <c r="TC48" s="102"/>
      <c r="TD48" s="102"/>
      <c r="TE48" s="102"/>
      <c r="TF48" s="102"/>
      <c r="TG48" s="102"/>
      <c r="TH48" s="102"/>
      <c r="TI48" s="102"/>
      <c r="TJ48" s="102"/>
      <c r="TK48" s="102"/>
      <c r="TL48" s="102"/>
      <c r="TM48" s="102"/>
      <c r="TN48" s="102"/>
      <c r="TO48" s="102"/>
      <c r="TP48" s="102"/>
      <c r="TQ48" s="102"/>
      <c r="TR48" s="102"/>
      <c r="TS48" s="102"/>
      <c r="TT48" s="102"/>
      <c r="TU48" s="102"/>
      <c r="TV48" s="102"/>
      <c r="TW48" s="103"/>
    </row>
  </sheetData>
  <sheetProtection sheet="1" objects="1" scenarios="1" insertRows="0" selectLockedCells="1"/>
  <mergeCells count="27">
    <mergeCell ref="B43:B44"/>
    <mergeCell ref="B45:B46"/>
    <mergeCell ref="D2:DG2"/>
    <mergeCell ref="DH2:HK2"/>
    <mergeCell ref="B27:B28"/>
    <mergeCell ref="B29:B30"/>
    <mergeCell ref="B31:B32"/>
    <mergeCell ref="B33:B34"/>
    <mergeCell ref="B35:B36"/>
    <mergeCell ref="B37:B38"/>
    <mergeCell ref="B15:B16"/>
    <mergeCell ref="B17:B18"/>
    <mergeCell ref="B19:B20"/>
    <mergeCell ref="B21:B22"/>
    <mergeCell ref="B23:B24"/>
    <mergeCell ref="B25:B26"/>
    <mergeCell ref="HL2:LO2"/>
    <mergeCell ref="LP2:PS2"/>
    <mergeCell ref="PT2:TW2"/>
    <mergeCell ref="B39:B40"/>
    <mergeCell ref="B41:B4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7">
      <formula1>0</formula1>
      <formula2>$C$9</formula2>
    </dataValidation>
  </dataValidations>
  <printOptions horizontalCentered="1" verticalCentered="1"/>
  <pageMargins left="0.25" right="0.25" top="0.75" bottom="0.75" header="0.3" footer="0.3"/>
  <pageSetup paperSize="9" scale="1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0" t="s">
        <v>21</v>
      </c>
      <c r="C3" s="30">
        <v>0</v>
      </c>
    </row>
    <row r="4" spans="1:4" ht="19.5" customHeight="1" x14ac:dyDescent="0.2">
      <c r="A4" s="34"/>
      <c r="B4" s="14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0"/>
  <sheetViews>
    <sheetView view="pageBreakPreview" topLeftCell="A46" zoomScale="115" zoomScaleNormal="100" zoomScaleSheetLayoutView="115" workbookViewId="0">
      <selection activeCell="C58" sqref="C5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t="s">
        <v>57</v>
      </c>
      <c r="D1" s="33"/>
    </row>
    <row r="2" spans="1:4" ht="27.75" thickBot="1" x14ac:dyDescent="0.25">
      <c r="A2" s="12" t="s">
        <v>3</v>
      </c>
      <c r="B2" s="32" t="s">
        <v>15</v>
      </c>
      <c r="C2" s="12" t="s">
        <v>7</v>
      </c>
      <c r="D2" s="12" t="s">
        <v>13</v>
      </c>
    </row>
    <row r="3" spans="1:4" s="80" customFormat="1" ht="27.75" thickBot="1" x14ac:dyDescent="0.25">
      <c r="A3" s="117" t="s">
        <v>31</v>
      </c>
      <c r="B3" s="118">
        <v>6</v>
      </c>
      <c r="C3" s="119" t="s">
        <v>60</v>
      </c>
      <c r="D3" s="119" t="s">
        <v>109</v>
      </c>
    </row>
    <row r="4" spans="1:4" s="80" customFormat="1" ht="27.75" thickBot="1" x14ac:dyDescent="0.25">
      <c r="A4" s="120" t="s">
        <v>28</v>
      </c>
      <c r="B4" s="121">
        <v>12</v>
      </c>
      <c r="C4" s="122" t="s">
        <v>28</v>
      </c>
      <c r="D4" s="119" t="s">
        <v>109</v>
      </c>
    </row>
    <row r="5" spans="1:4" s="80" customFormat="1" ht="14.25" thickBot="1" x14ac:dyDescent="0.25">
      <c r="A5" s="120" t="s">
        <v>36</v>
      </c>
      <c r="B5" s="121">
        <v>3</v>
      </c>
      <c r="C5" s="122" t="s">
        <v>62</v>
      </c>
      <c r="D5" s="119" t="s">
        <v>109</v>
      </c>
    </row>
    <row r="6" spans="1:4" s="80" customFormat="1" ht="27.75" thickBot="1" x14ac:dyDescent="0.25">
      <c r="A6" s="120" t="s">
        <v>37</v>
      </c>
      <c r="B6" s="121">
        <v>3</v>
      </c>
      <c r="C6" s="122" t="s">
        <v>63</v>
      </c>
      <c r="D6" s="119" t="s">
        <v>109</v>
      </c>
    </row>
    <row r="7" spans="1:4" s="80" customFormat="1" ht="14.25" thickBot="1" x14ac:dyDescent="0.25">
      <c r="A7" s="120" t="s">
        <v>32</v>
      </c>
      <c r="B7" s="121">
        <v>1</v>
      </c>
      <c r="C7" s="122" t="s">
        <v>64</v>
      </c>
      <c r="D7" s="119" t="s">
        <v>109</v>
      </c>
    </row>
    <row r="8" spans="1:4" s="80" customFormat="1" ht="41.25" thickBot="1" x14ac:dyDescent="0.25">
      <c r="A8" s="120" t="s">
        <v>43</v>
      </c>
      <c r="B8" s="121">
        <v>9</v>
      </c>
      <c r="C8" s="122" t="s">
        <v>65</v>
      </c>
      <c r="D8" s="119" t="s">
        <v>109</v>
      </c>
    </row>
    <row r="9" spans="1:4" s="80" customFormat="1" ht="41.25" thickBot="1" x14ac:dyDescent="0.25">
      <c r="A9" s="121" t="s">
        <v>42</v>
      </c>
      <c r="B9" s="121">
        <v>12</v>
      </c>
      <c r="C9" s="122" t="s">
        <v>66</v>
      </c>
      <c r="D9" s="119" t="s">
        <v>109</v>
      </c>
    </row>
    <row r="10" spans="1:4" s="80" customFormat="1" ht="27.75" thickBot="1" x14ac:dyDescent="0.25">
      <c r="A10" s="121" t="s">
        <v>38</v>
      </c>
      <c r="B10" s="121">
        <v>1</v>
      </c>
      <c r="C10" s="122" t="s">
        <v>67</v>
      </c>
      <c r="D10" s="119" t="s">
        <v>109</v>
      </c>
    </row>
    <row r="11" spans="1:4" s="80" customFormat="1" ht="14.25" thickBot="1" x14ac:dyDescent="0.25">
      <c r="A11" s="121" t="s">
        <v>36</v>
      </c>
      <c r="B11" s="121">
        <v>13</v>
      </c>
      <c r="C11" s="122" t="s">
        <v>68</v>
      </c>
      <c r="D11" s="119" t="s">
        <v>109</v>
      </c>
    </row>
    <row r="12" spans="1:4" s="80" customFormat="1" ht="14.25" thickBot="1" x14ac:dyDescent="0.25">
      <c r="A12" s="123" t="s">
        <v>21</v>
      </c>
      <c r="B12" s="123">
        <v>48</v>
      </c>
      <c r="C12" s="124" t="s">
        <v>59</v>
      </c>
      <c r="D12" s="119" t="s">
        <v>109</v>
      </c>
    </row>
    <row r="13" spans="1:4" ht="14.25" thickBot="1" x14ac:dyDescent="0.25">
      <c r="A13" s="16" t="s">
        <v>22</v>
      </c>
      <c r="B13" s="16">
        <f>SUM(B3:B12)</f>
        <v>108</v>
      </c>
      <c r="C13" s="104" t="s">
        <v>61</v>
      </c>
      <c r="D13" s="17"/>
    </row>
    <row r="14" spans="1:4" ht="15" thickBot="1" x14ac:dyDescent="0.35">
      <c r="A14" s="18"/>
      <c r="B14" s="18"/>
      <c r="C14" s="18"/>
      <c r="D14" s="18"/>
    </row>
    <row r="15" spans="1:4" ht="18.75" thickBot="1" x14ac:dyDescent="0.25">
      <c r="A15" s="10" t="s">
        <v>14</v>
      </c>
      <c r="B15" s="11">
        <v>2</v>
      </c>
      <c r="C15" s="31" t="s">
        <v>77</v>
      </c>
      <c r="D15" s="33"/>
    </row>
    <row r="16" spans="1:4" ht="27.75" thickBot="1" x14ac:dyDescent="0.25">
      <c r="A16" s="12" t="s">
        <v>3</v>
      </c>
      <c r="B16" s="32" t="s">
        <v>15</v>
      </c>
      <c r="C16" s="12" t="s">
        <v>7</v>
      </c>
      <c r="D16" s="12" t="s">
        <v>13</v>
      </c>
    </row>
    <row r="17" spans="1:9" ht="14.25" thickBot="1" x14ac:dyDescent="0.25">
      <c r="A17" s="117" t="s">
        <v>29</v>
      </c>
      <c r="B17" s="118">
        <v>3</v>
      </c>
      <c r="C17" s="119" t="s">
        <v>69</v>
      </c>
      <c r="D17" s="119" t="s">
        <v>109</v>
      </c>
    </row>
    <row r="18" spans="1:9" ht="41.25" thickBot="1" x14ac:dyDescent="0.25">
      <c r="A18" s="120" t="s">
        <v>44</v>
      </c>
      <c r="B18" s="121">
        <v>3</v>
      </c>
      <c r="C18" s="122" t="s">
        <v>70</v>
      </c>
      <c r="D18" s="119" t="s">
        <v>109</v>
      </c>
    </row>
    <row r="19" spans="1:9" ht="41.25" thickBot="1" x14ac:dyDescent="0.25">
      <c r="A19" s="120" t="s">
        <v>44</v>
      </c>
      <c r="B19" s="121">
        <v>12</v>
      </c>
      <c r="C19" s="122" t="s">
        <v>72</v>
      </c>
      <c r="D19" s="119" t="s">
        <v>109</v>
      </c>
      <c r="E19" s="37"/>
      <c r="F19" s="37"/>
      <c r="G19" s="37"/>
      <c r="H19" s="37"/>
      <c r="I19" s="37"/>
    </row>
    <row r="20" spans="1:9" ht="12.75" customHeight="1" thickBot="1" x14ac:dyDescent="0.25">
      <c r="A20" s="120" t="s">
        <v>44</v>
      </c>
      <c r="B20" s="121">
        <v>12</v>
      </c>
      <c r="C20" s="122" t="s">
        <v>71</v>
      </c>
      <c r="D20" s="119" t="s">
        <v>109</v>
      </c>
      <c r="E20" s="37"/>
      <c r="F20" s="54"/>
      <c r="G20" s="55"/>
      <c r="H20" s="56"/>
      <c r="I20" s="37"/>
    </row>
    <row r="21" spans="1:9" ht="27.75" thickBot="1" x14ac:dyDescent="0.25">
      <c r="A21" s="120" t="s">
        <v>39</v>
      </c>
      <c r="B21" s="121">
        <v>3</v>
      </c>
      <c r="C21" s="122" t="s">
        <v>73</v>
      </c>
      <c r="D21" s="119" t="s">
        <v>109</v>
      </c>
      <c r="E21" s="37"/>
      <c r="F21" s="57"/>
      <c r="G21" s="53"/>
      <c r="H21" s="53"/>
      <c r="I21" s="37"/>
    </row>
    <row r="22" spans="1:9" ht="41.25" thickBot="1" x14ac:dyDescent="0.25">
      <c r="A22" s="120" t="s">
        <v>46</v>
      </c>
      <c r="B22" s="121">
        <v>6</v>
      </c>
      <c r="C22" s="122" t="s">
        <v>74</v>
      </c>
      <c r="D22" s="119" t="s">
        <v>109</v>
      </c>
      <c r="E22" s="37"/>
      <c r="F22" s="59"/>
      <c r="G22" s="60"/>
      <c r="H22" s="60"/>
      <c r="I22" s="37"/>
    </row>
    <row r="23" spans="1:9" ht="41.25" thickBot="1" x14ac:dyDescent="0.25">
      <c r="A23" s="121" t="s">
        <v>44</v>
      </c>
      <c r="B23" s="121">
        <v>6</v>
      </c>
      <c r="C23" s="122" t="s">
        <v>75</v>
      </c>
      <c r="D23" s="119" t="s">
        <v>109</v>
      </c>
      <c r="E23" s="37"/>
      <c r="F23" s="59"/>
      <c r="G23" s="60"/>
      <c r="H23" s="60"/>
      <c r="I23" s="37"/>
    </row>
    <row r="24" spans="1:9" ht="41.25" thickBot="1" x14ac:dyDescent="0.25">
      <c r="A24" s="121" t="s">
        <v>44</v>
      </c>
      <c r="B24" s="121">
        <v>48</v>
      </c>
      <c r="C24" s="122" t="s">
        <v>80</v>
      </c>
      <c r="D24" s="119" t="s">
        <v>109</v>
      </c>
      <c r="E24" s="37"/>
      <c r="F24" s="59"/>
      <c r="G24" s="60"/>
      <c r="H24" s="60"/>
      <c r="I24" s="37"/>
    </row>
    <row r="25" spans="1:9" ht="14.25" thickBot="1" x14ac:dyDescent="0.25">
      <c r="A25" s="121" t="s">
        <v>36</v>
      </c>
      <c r="B25" s="121">
        <v>15</v>
      </c>
      <c r="C25" s="122" t="s">
        <v>76</v>
      </c>
      <c r="D25" s="119" t="s">
        <v>109</v>
      </c>
      <c r="E25" s="37"/>
      <c r="F25" s="59"/>
      <c r="G25" s="60"/>
      <c r="H25" s="60"/>
      <c r="I25" s="37"/>
    </row>
    <row r="26" spans="1:9" ht="14.25" thickBot="1" x14ac:dyDescent="0.25">
      <c r="A26" s="123"/>
      <c r="B26" s="123"/>
      <c r="C26" s="124"/>
      <c r="D26" s="119" t="s">
        <v>109</v>
      </c>
      <c r="E26" s="37"/>
      <c r="F26" s="59"/>
      <c r="G26" s="60"/>
      <c r="H26" s="60"/>
      <c r="I26" s="37"/>
    </row>
    <row r="27" spans="1:9" ht="14.25" thickBot="1" x14ac:dyDescent="0.25">
      <c r="A27" s="16" t="s">
        <v>22</v>
      </c>
      <c r="B27" s="16">
        <f>SUM(B17:B26)</f>
        <v>108</v>
      </c>
      <c r="C27" s="104" t="s">
        <v>61</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t="s">
        <v>56</v>
      </c>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9" t="s">
        <v>21</v>
      </c>
      <c r="B31" s="8">
        <v>24</v>
      </c>
      <c r="C31" s="13" t="s">
        <v>79</v>
      </c>
      <c r="D31" s="13" t="s">
        <v>110</v>
      </c>
      <c r="E31" s="37"/>
      <c r="F31" s="63"/>
      <c r="G31" s="63"/>
      <c r="H31" s="63"/>
      <c r="I31" s="37"/>
    </row>
    <row r="32" spans="1:9" ht="54" x14ac:dyDescent="0.2">
      <c r="A32" s="5" t="s">
        <v>44</v>
      </c>
      <c r="B32" s="6">
        <v>48</v>
      </c>
      <c r="C32" s="14" t="s">
        <v>111</v>
      </c>
      <c r="D32" s="14"/>
      <c r="E32" s="37"/>
      <c r="F32" s="37"/>
      <c r="G32" s="37"/>
      <c r="H32" s="37"/>
      <c r="I32" s="37"/>
    </row>
    <row r="33" spans="1:9" ht="40.5" x14ac:dyDescent="0.2">
      <c r="A33" s="5" t="s">
        <v>45</v>
      </c>
      <c r="B33" s="6">
        <v>6</v>
      </c>
      <c r="C33" s="14" t="s">
        <v>74</v>
      </c>
      <c r="D33" s="14"/>
      <c r="E33" s="37"/>
      <c r="F33" s="37"/>
      <c r="G33" s="37"/>
      <c r="H33" s="37"/>
      <c r="I33" s="37"/>
    </row>
    <row r="34" spans="1:9" ht="54" x14ac:dyDescent="0.2">
      <c r="A34" s="5" t="s">
        <v>44</v>
      </c>
      <c r="B34" s="6">
        <v>30</v>
      </c>
      <c r="C34" s="14" t="s">
        <v>112</v>
      </c>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108</v>
      </c>
      <c r="C41" s="104" t="s">
        <v>61</v>
      </c>
      <c r="D41" s="17"/>
    </row>
    <row r="42" spans="1:9" ht="15" thickBot="1" x14ac:dyDescent="0.35">
      <c r="A42" s="18"/>
      <c r="B42" s="18"/>
      <c r="C42" s="18"/>
      <c r="D42" s="18"/>
    </row>
    <row r="43" spans="1:9" ht="18.75" thickBot="1" x14ac:dyDescent="0.25">
      <c r="A43" s="10" t="s">
        <v>14</v>
      </c>
      <c r="B43" s="11">
        <v>4</v>
      </c>
      <c r="C43" s="31" t="s">
        <v>55</v>
      </c>
      <c r="D43" s="33"/>
    </row>
    <row r="44" spans="1:9" ht="27.75" thickBot="1" x14ac:dyDescent="0.25">
      <c r="A44" s="12" t="s">
        <v>3</v>
      </c>
      <c r="B44" s="32" t="s">
        <v>15</v>
      </c>
      <c r="C44" s="12" t="s">
        <v>7</v>
      </c>
      <c r="D44" s="12" t="s">
        <v>13</v>
      </c>
    </row>
    <row r="45" spans="1:9" ht="54" x14ac:dyDescent="0.2">
      <c r="A45" s="125" t="s">
        <v>44</v>
      </c>
      <c r="B45" s="126">
        <v>18</v>
      </c>
      <c r="C45" s="127" t="s">
        <v>112</v>
      </c>
      <c r="D45" s="13"/>
    </row>
    <row r="46" spans="1:9" ht="13.5" x14ac:dyDescent="0.2">
      <c r="A46" s="128" t="s">
        <v>36</v>
      </c>
      <c r="B46" s="129">
        <v>24</v>
      </c>
      <c r="C46" s="130" t="s">
        <v>82</v>
      </c>
      <c r="D46" s="14"/>
    </row>
    <row r="47" spans="1:9" ht="40.5" x14ac:dyDescent="0.2">
      <c r="A47" s="128" t="s">
        <v>44</v>
      </c>
      <c r="B47" s="129">
        <v>24</v>
      </c>
      <c r="C47" s="130" t="s">
        <v>81</v>
      </c>
      <c r="D47" s="14"/>
    </row>
    <row r="48" spans="1:9" ht="27" x14ac:dyDescent="0.2">
      <c r="A48" s="128" t="s">
        <v>36</v>
      </c>
      <c r="B48" s="129">
        <v>42</v>
      </c>
      <c r="C48" s="130" t="s">
        <v>113</v>
      </c>
      <c r="D48" s="14"/>
    </row>
    <row r="49" spans="1:4" ht="13.5" x14ac:dyDescent="0.2">
      <c r="A49" s="128"/>
      <c r="B49" s="129"/>
      <c r="C49" s="130"/>
      <c r="D49" s="14"/>
    </row>
    <row r="50" spans="1:4" ht="13.5" x14ac:dyDescent="0.2">
      <c r="A50" s="131"/>
      <c r="B50" s="131"/>
      <c r="C50" s="132"/>
      <c r="D50" s="14"/>
    </row>
    <row r="51" spans="1:4" ht="13.5" x14ac:dyDescent="0.2">
      <c r="A51" s="6"/>
      <c r="B51" s="6"/>
      <c r="C51" s="14"/>
      <c r="D51" s="14"/>
    </row>
    <row r="52" spans="1:4" ht="13.5" x14ac:dyDescent="0.2">
      <c r="A52" s="6"/>
      <c r="B52" s="6"/>
      <c r="C52" s="14"/>
      <c r="D52" s="14"/>
    </row>
    <row r="53" spans="1:4" ht="14.25" thickBot="1" x14ac:dyDescent="0.25">
      <c r="A53" s="7"/>
      <c r="B53" s="7"/>
      <c r="C53" s="15"/>
      <c r="D53" s="15"/>
    </row>
    <row r="54" spans="1:4" ht="14.25" thickBot="1" x14ac:dyDescent="0.25">
      <c r="A54" s="16" t="s">
        <v>22</v>
      </c>
      <c r="B54" s="16">
        <f>SUM(B45:B53)</f>
        <v>108</v>
      </c>
      <c r="C54" s="104" t="s">
        <v>61</v>
      </c>
      <c r="D54" s="17"/>
    </row>
    <row r="55" spans="1:4" ht="15" thickBot="1" x14ac:dyDescent="0.35">
      <c r="A55" s="18"/>
      <c r="B55" s="18"/>
      <c r="C55" s="18"/>
      <c r="D55" s="18"/>
    </row>
    <row r="56" spans="1:4" ht="18.75" thickBot="1" x14ac:dyDescent="0.25">
      <c r="A56" s="10" t="s">
        <v>14</v>
      </c>
      <c r="B56" s="11">
        <v>5</v>
      </c>
      <c r="C56" s="31" t="s">
        <v>78</v>
      </c>
      <c r="D56" s="33"/>
    </row>
    <row r="57" spans="1:4" ht="27.75" thickBot="1" x14ac:dyDescent="0.25">
      <c r="A57" s="12" t="s">
        <v>3</v>
      </c>
      <c r="B57" s="32" t="s">
        <v>15</v>
      </c>
      <c r="C57" s="12" t="s">
        <v>7</v>
      </c>
      <c r="D57" s="12" t="s">
        <v>13</v>
      </c>
    </row>
    <row r="58" spans="1:4" ht="27" x14ac:dyDescent="0.2">
      <c r="A58" s="5" t="s">
        <v>48</v>
      </c>
      <c r="B58" s="6">
        <v>24</v>
      </c>
      <c r="C58" s="14" t="s">
        <v>83</v>
      </c>
      <c r="D58" s="13"/>
    </row>
    <row r="59" spans="1:4" ht="13.5" x14ac:dyDescent="0.2">
      <c r="A59" s="5"/>
      <c r="B59" s="6"/>
      <c r="C59" s="14"/>
      <c r="D59" s="14"/>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6"/>
      <c r="B64" s="6"/>
      <c r="C64" s="14"/>
      <c r="D64" s="14"/>
    </row>
    <row r="65" spans="1:4" ht="13.5" x14ac:dyDescent="0.2">
      <c r="A65" s="6"/>
      <c r="B65" s="6"/>
      <c r="C65" s="14"/>
      <c r="D65" s="14"/>
    </row>
    <row r="66" spans="1:4" ht="13.5" x14ac:dyDescent="0.2">
      <c r="A66" s="6"/>
      <c r="B66" s="6"/>
      <c r="C66" s="14"/>
      <c r="D66" s="14"/>
    </row>
    <row r="67" spans="1:4" ht="14.25" thickBot="1" x14ac:dyDescent="0.25">
      <c r="A67" s="7" t="s">
        <v>21</v>
      </c>
      <c r="B67" s="7">
        <v>84</v>
      </c>
      <c r="C67" s="15" t="s">
        <v>58</v>
      </c>
      <c r="D67" s="15"/>
    </row>
    <row r="68" spans="1:4" ht="14.25" thickBot="1" x14ac:dyDescent="0.25">
      <c r="A68" s="16" t="s">
        <v>22</v>
      </c>
      <c r="B68" s="16">
        <f>SUM(B58:B67)</f>
        <v>108</v>
      </c>
      <c r="C68" s="104" t="s">
        <v>61</v>
      </c>
      <c r="D68" s="17"/>
    </row>
    <row r="69" spans="1:4" ht="14.25" x14ac:dyDescent="0.3">
      <c r="A69" s="18"/>
      <c r="B69" s="18"/>
      <c r="C69" s="18"/>
      <c r="D69" s="18"/>
    </row>
    <row r="70" spans="1:4" x14ac:dyDescent="0.2">
      <c r="A70" s="105" t="s">
        <v>53</v>
      </c>
    </row>
  </sheetData>
  <sheetProtection insertRows="0" selectLockedCells="1"/>
  <dataValidations count="4">
    <dataValidation type="list" allowBlank="1" showInputMessage="1" showErrorMessage="1" sqref="A3:A12 A17:A26 A31:A40 A45:A53 A58:A6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4 B68">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3 B31:B40 B58:B6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608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6081"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97"/>
  <sheetViews>
    <sheetView tabSelected="1" view="pageBreakPreview" topLeftCell="A76" zoomScale="115" zoomScaleNormal="100" zoomScaleSheetLayoutView="115" workbookViewId="0">
      <selection activeCell="B81" sqref="B81"/>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 x14ac:dyDescent="0.2">
      <c r="A3" s="9" t="s">
        <v>31</v>
      </c>
      <c r="B3" s="8">
        <v>6</v>
      </c>
      <c r="C3" s="13" t="s">
        <v>89</v>
      </c>
      <c r="D3" s="13"/>
    </row>
    <row r="4" spans="1:4" s="80" customFormat="1" ht="27" x14ac:dyDescent="0.2">
      <c r="A4" s="5" t="s">
        <v>28</v>
      </c>
      <c r="B4" s="6">
        <v>9</v>
      </c>
      <c r="C4" s="14" t="s">
        <v>85</v>
      </c>
      <c r="D4" s="14"/>
    </row>
    <row r="5" spans="1:4" s="80" customFormat="1" ht="40.5" x14ac:dyDescent="0.2">
      <c r="A5" s="5" t="s">
        <v>36</v>
      </c>
      <c r="B5" s="6">
        <v>6</v>
      </c>
      <c r="C5" s="14" t="s">
        <v>86</v>
      </c>
      <c r="D5" s="14"/>
    </row>
    <row r="6" spans="1:4" s="80" customFormat="1" ht="27" x14ac:dyDescent="0.2">
      <c r="A6" s="5" t="s">
        <v>37</v>
      </c>
      <c r="B6" s="6">
        <v>3</v>
      </c>
      <c r="C6" s="14" t="s">
        <v>87</v>
      </c>
      <c r="D6" s="14"/>
    </row>
    <row r="7" spans="1:4" s="80" customFormat="1" ht="27" x14ac:dyDescent="0.2">
      <c r="A7" s="5" t="s">
        <v>37</v>
      </c>
      <c r="B7" s="6">
        <v>9</v>
      </c>
      <c r="C7" s="14" t="s">
        <v>88</v>
      </c>
      <c r="D7" s="14"/>
    </row>
    <row r="8" spans="1:4" s="80" customFormat="1" ht="40.5" x14ac:dyDescent="0.2">
      <c r="A8" s="5" t="s">
        <v>42</v>
      </c>
      <c r="B8" s="6">
        <v>3</v>
      </c>
      <c r="C8" s="14" t="s">
        <v>90</v>
      </c>
      <c r="D8" s="14"/>
    </row>
    <row r="9" spans="1:4" s="80" customFormat="1" ht="40.5" x14ac:dyDescent="0.2">
      <c r="A9" s="5" t="s">
        <v>44</v>
      </c>
      <c r="B9" s="6">
        <v>11</v>
      </c>
      <c r="C9" s="14" t="s">
        <v>92</v>
      </c>
      <c r="D9" s="14"/>
    </row>
    <row r="10" spans="1:4" s="80" customFormat="1" ht="27" x14ac:dyDescent="0.2">
      <c r="A10" s="5" t="s">
        <v>36</v>
      </c>
      <c r="B10" s="6">
        <v>1</v>
      </c>
      <c r="C10" s="14" t="s">
        <v>91</v>
      </c>
      <c r="D10" s="14"/>
    </row>
    <row r="11" spans="1:4" s="80" customFormat="1" ht="40.5" x14ac:dyDescent="0.2">
      <c r="A11" s="5" t="s">
        <v>44</v>
      </c>
      <c r="B11" s="6">
        <v>9</v>
      </c>
      <c r="C11" s="14" t="s">
        <v>94</v>
      </c>
      <c r="D11" s="14"/>
    </row>
    <row r="12" spans="1:4" s="80" customFormat="1" ht="13.5" x14ac:dyDescent="0.2">
      <c r="A12" s="6" t="s">
        <v>36</v>
      </c>
      <c r="B12" s="6">
        <v>3</v>
      </c>
      <c r="C12" s="14" t="s">
        <v>93</v>
      </c>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84</v>
      </c>
      <c r="D17" s="15"/>
    </row>
    <row r="18" spans="1:9" ht="14.25" thickBot="1" x14ac:dyDescent="0.25">
      <c r="A18" s="75" t="s">
        <v>22</v>
      </c>
      <c r="B18" s="75">
        <f>SUM(B3:B17)</f>
        <v>108</v>
      </c>
      <c r="C18" s="111" t="s">
        <v>61</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40.5" x14ac:dyDescent="0.2">
      <c r="A22" s="9" t="s">
        <v>44</v>
      </c>
      <c r="B22" s="8">
        <v>15</v>
      </c>
      <c r="C22" s="13" t="s">
        <v>97</v>
      </c>
      <c r="D22" s="13"/>
    </row>
    <row r="23" spans="1:9" ht="40.5" x14ac:dyDescent="0.2">
      <c r="A23" s="5" t="s">
        <v>44</v>
      </c>
      <c r="B23" s="6">
        <v>9</v>
      </c>
      <c r="C23" s="14" t="s">
        <v>95</v>
      </c>
      <c r="D23" s="14"/>
    </row>
    <row r="24" spans="1:9" ht="40.5" x14ac:dyDescent="0.2">
      <c r="A24" s="5" t="s">
        <v>44</v>
      </c>
      <c r="B24" s="6">
        <v>6</v>
      </c>
      <c r="C24" s="14" t="s">
        <v>98</v>
      </c>
      <c r="D24" s="14"/>
      <c r="E24" s="37"/>
      <c r="F24" s="37"/>
      <c r="G24" s="37"/>
      <c r="H24" s="37"/>
      <c r="I24" s="37"/>
    </row>
    <row r="25" spans="1:9" ht="54" x14ac:dyDescent="0.2">
      <c r="A25" s="5" t="s">
        <v>44</v>
      </c>
      <c r="B25" s="6">
        <v>14</v>
      </c>
      <c r="C25" s="14" t="s">
        <v>96</v>
      </c>
      <c r="D25" s="14"/>
      <c r="E25" s="37"/>
      <c r="F25" s="54"/>
      <c r="G25" s="55"/>
      <c r="H25" s="56"/>
      <c r="I25" s="37"/>
    </row>
    <row r="26" spans="1:9" ht="40.5" x14ac:dyDescent="0.2">
      <c r="A26" s="5" t="s">
        <v>36</v>
      </c>
      <c r="B26" s="6">
        <v>2</v>
      </c>
      <c r="C26" s="14" t="s">
        <v>100</v>
      </c>
      <c r="D26" s="14"/>
      <c r="E26" s="37"/>
      <c r="F26" s="57"/>
      <c r="G26" s="53"/>
      <c r="H26" s="53"/>
      <c r="I26" s="37"/>
    </row>
    <row r="27" spans="1:9" ht="40.5" x14ac:dyDescent="0.2">
      <c r="A27" s="5" t="s">
        <v>44</v>
      </c>
      <c r="B27" s="6">
        <v>2</v>
      </c>
      <c r="C27" s="14" t="s">
        <v>99</v>
      </c>
      <c r="D27" s="14"/>
      <c r="E27" s="37"/>
      <c r="F27" s="59"/>
      <c r="G27" s="60"/>
      <c r="H27" s="60"/>
      <c r="I27" s="37"/>
    </row>
    <row r="28" spans="1:9" ht="40.5" x14ac:dyDescent="0.2">
      <c r="A28" s="5" t="s">
        <v>44</v>
      </c>
      <c r="B28" s="6">
        <v>3</v>
      </c>
      <c r="C28" s="14" t="s">
        <v>101</v>
      </c>
      <c r="D28" s="14"/>
      <c r="E28" s="37"/>
      <c r="F28" s="59"/>
      <c r="G28" s="60"/>
      <c r="H28" s="60"/>
      <c r="I28" s="37"/>
    </row>
    <row r="29" spans="1:9" ht="54" x14ac:dyDescent="0.2">
      <c r="A29" s="5" t="s">
        <v>46</v>
      </c>
      <c r="B29" s="6">
        <v>9</v>
      </c>
      <c r="C29" s="14" t="s">
        <v>104</v>
      </c>
      <c r="D29" s="14"/>
      <c r="E29" s="37"/>
      <c r="F29" s="59"/>
      <c r="G29" s="60"/>
      <c r="H29" s="60"/>
      <c r="I29" s="37"/>
    </row>
    <row r="30" spans="1:9" ht="40.5" x14ac:dyDescent="0.2">
      <c r="A30" s="5" t="s">
        <v>44</v>
      </c>
      <c r="B30" s="6">
        <v>12</v>
      </c>
      <c r="C30" s="14" t="s">
        <v>102</v>
      </c>
      <c r="D30" s="14"/>
      <c r="E30" s="37"/>
      <c r="F30" s="59"/>
      <c r="G30" s="60"/>
      <c r="H30" s="60"/>
      <c r="I30" s="37"/>
    </row>
    <row r="31" spans="1:9" ht="40.5" x14ac:dyDescent="0.2">
      <c r="A31" s="6" t="s">
        <v>44</v>
      </c>
      <c r="B31" s="6">
        <v>5</v>
      </c>
      <c r="C31" s="14" t="s">
        <v>105</v>
      </c>
      <c r="D31" s="14"/>
      <c r="E31" s="37"/>
      <c r="F31" s="59"/>
      <c r="G31" s="60"/>
      <c r="H31" s="60"/>
      <c r="I31" s="37"/>
    </row>
    <row r="32" spans="1:9" ht="27" x14ac:dyDescent="0.2">
      <c r="A32" s="6" t="s">
        <v>29</v>
      </c>
      <c r="B32" s="6">
        <v>1</v>
      </c>
      <c r="C32" s="14" t="s">
        <v>103</v>
      </c>
      <c r="D32" s="14"/>
      <c r="E32" s="37"/>
      <c r="F32" s="59"/>
      <c r="G32" s="60"/>
      <c r="H32" s="60"/>
      <c r="I32" s="37"/>
    </row>
    <row r="33" spans="1:9" ht="40.5" x14ac:dyDescent="0.2">
      <c r="A33" s="6" t="s">
        <v>42</v>
      </c>
      <c r="B33" s="6">
        <v>6</v>
      </c>
      <c r="C33" s="14" t="s">
        <v>106</v>
      </c>
      <c r="D33" s="14"/>
      <c r="E33" s="37"/>
      <c r="F33" s="59"/>
      <c r="G33" s="60"/>
      <c r="H33" s="60"/>
      <c r="I33" s="37"/>
    </row>
    <row r="34" spans="1:9" ht="27" x14ac:dyDescent="0.2">
      <c r="A34" s="78" t="s">
        <v>28</v>
      </c>
      <c r="B34" s="78">
        <v>1</v>
      </c>
      <c r="C34" s="79" t="s">
        <v>107</v>
      </c>
      <c r="D34" s="79"/>
      <c r="E34" s="37"/>
      <c r="F34" s="59"/>
      <c r="G34" s="60"/>
      <c r="H34" s="60"/>
      <c r="I34" s="37"/>
    </row>
    <row r="35" spans="1:9" ht="13.5" x14ac:dyDescent="0.2">
      <c r="A35" s="78" t="s">
        <v>36</v>
      </c>
      <c r="B35" s="78">
        <v>5</v>
      </c>
      <c r="C35" s="79" t="s">
        <v>108</v>
      </c>
      <c r="D35" s="79"/>
      <c r="E35" s="37"/>
      <c r="F35" s="61"/>
      <c r="G35" s="62"/>
      <c r="H35" s="62"/>
      <c r="I35" s="37"/>
    </row>
    <row r="36" spans="1:9" ht="54.75" thickBot="1" x14ac:dyDescent="0.25">
      <c r="A36" s="7" t="s">
        <v>28</v>
      </c>
      <c r="B36" s="7">
        <v>12</v>
      </c>
      <c r="C36" s="15" t="s">
        <v>114</v>
      </c>
      <c r="D36" s="79"/>
      <c r="E36" s="37"/>
      <c r="F36" s="61"/>
      <c r="G36" s="62"/>
      <c r="H36" s="62"/>
      <c r="I36" s="37"/>
    </row>
    <row r="37" spans="1:9" ht="15" thickBot="1" x14ac:dyDescent="0.35">
      <c r="A37" s="7" t="s">
        <v>36</v>
      </c>
      <c r="B37" s="7">
        <v>6</v>
      </c>
      <c r="C37" s="15" t="s">
        <v>115</v>
      </c>
      <c r="D37" s="15"/>
      <c r="E37" s="37"/>
      <c r="F37" s="63"/>
      <c r="G37" s="63"/>
      <c r="H37" s="63"/>
      <c r="I37" s="37"/>
    </row>
    <row r="38" spans="1:9" ht="14.25" thickBot="1" x14ac:dyDescent="0.25">
      <c r="A38" s="75" t="s">
        <v>22</v>
      </c>
      <c r="B38" s="75">
        <f>SUM(B22:B37)</f>
        <v>108</v>
      </c>
      <c r="C38" s="111" t="s">
        <v>61</v>
      </c>
      <c r="D38" s="76"/>
      <c r="E38" s="37"/>
      <c r="F38" s="37"/>
      <c r="G38" s="37"/>
      <c r="H38" s="37"/>
      <c r="I38" s="37"/>
    </row>
    <row r="39" spans="1:9" ht="15" thickBot="1" x14ac:dyDescent="0.35">
      <c r="A39" s="77"/>
      <c r="B39" s="77"/>
      <c r="C39" s="77"/>
      <c r="D39" s="77"/>
      <c r="E39" s="37"/>
      <c r="F39" s="37"/>
      <c r="G39" s="37"/>
      <c r="H39" s="37"/>
      <c r="I39" s="37"/>
    </row>
    <row r="40" spans="1:9" ht="18.75" thickBot="1" x14ac:dyDescent="0.25">
      <c r="A40" s="70" t="s">
        <v>14</v>
      </c>
      <c r="B40" s="71">
        <v>3</v>
      </c>
      <c r="C40" s="72" t="s">
        <v>23</v>
      </c>
      <c r="D40" s="81">
        <v>42149</v>
      </c>
      <c r="E40" s="37"/>
      <c r="F40" s="37"/>
      <c r="G40" s="37"/>
      <c r="H40" s="37"/>
      <c r="I40" s="37"/>
    </row>
    <row r="41" spans="1:9" ht="27.75" thickBot="1" x14ac:dyDescent="0.25">
      <c r="A41" s="73" t="s">
        <v>3</v>
      </c>
      <c r="B41" s="74" t="s">
        <v>15</v>
      </c>
      <c r="C41" s="73" t="s">
        <v>7</v>
      </c>
      <c r="D41" s="73" t="s">
        <v>13</v>
      </c>
    </row>
    <row r="42" spans="1:9" ht="13.5" x14ac:dyDescent="0.2">
      <c r="A42" s="9" t="s">
        <v>21</v>
      </c>
      <c r="B42" s="8">
        <v>24</v>
      </c>
      <c r="C42" s="13" t="s">
        <v>116</v>
      </c>
      <c r="D42" s="13"/>
    </row>
    <row r="43" spans="1:9" ht="40.5" x14ac:dyDescent="0.2">
      <c r="A43" s="5" t="s">
        <v>44</v>
      </c>
      <c r="B43" s="6">
        <v>12</v>
      </c>
      <c r="C43" s="14" t="s">
        <v>117</v>
      </c>
      <c r="D43" s="14"/>
    </row>
    <row r="44" spans="1:9" ht="54" x14ac:dyDescent="0.2">
      <c r="A44" s="5" t="s">
        <v>44</v>
      </c>
      <c r="B44" s="6">
        <v>12</v>
      </c>
      <c r="C44" s="14" t="s">
        <v>118</v>
      </c>
      <c r="D44" s="14"/>
    </row>
    <row r="45" spans="1:9" ht="40.5" x14ac:dyDescent="0.2">
      <c r="A45" s="5" t="s">
        <v>44</v>
      </c>
      <c r="B45" s="6">
        <v>9</v>
      </c>
      <c r="C45" s="14" t="s">
        <v>119</v>
      </c>
      <c r="D45" s="14"/>
    </row>
    <row r="46" spans="1:9" ht="40.5" x14ac:dyDescent="0.2">
      <c r="A46" s="5" t="s">
        <v>36</v>
      </c>
      <c r="B46" s="6">
        <v>3</v>
      </c>
      <c r="C46" s="14" t="s">
        <v>120</v>
      </c>
      <c r="D46" s="14"/>
    </row>
    <row r="47" spans="1:9" ht="40.5" x14ac:dyDescent="0.2">
      <c r="A47" s="5" t="s">
        <v>45</v>
      </c>
      <c r="B47" s="6">
        <v>3</v>
      </c>
      <c r="C47" s="14" t="s">
        <v>121</v>
      </c>
      <c r="D47" s="14"/>
    </row>
    <row r="48" spans="1:9" ht="40.5" x14ac:dyDescent="0.2">
      <c r="A48" s="5" t="s">
        <v>44</v>
      </c>
      <c r="B48" s="6">
        <v>3</v>
      </c>
      <c r="C48" s="14" t="s">
        <v>122</v>
      </c>
      <c r="D48" s="14"/>
    </row>
    <row r="49" spans="1:4" ht="81" x14ac:dyDescent="0.2">
      <c r="A49" s="5" t="s">
        <v>29</v>
      </c>
      <c r="B49" s="6">
        <v>1</v>
      </c>
      <c r="C49" s="14" t="s">
        <v>123</v>
      </c>
      <c r="D49" s="14"/>
    </row>
    <row r="50" spans="1:4" ht="40.5" x14ac:dyDescent="0.2">
      <c r="A50" s="5" t="s">
        <v>44</v>
      </c>
      <c r="B50" s="6">
        <v>5</v>
      </c>
      <c r="C50" s="14" t="s">
        <v>124</v>
      </c>
      <c r="D50" s="14"/>
    </row>
    <row r="51" spans="1:4" ht="108" x14ac:dyDescent="0.2">
      <c r="A51" s="6" t="s">
        <v>45</v>
      </c>
      <c r="B51" s="6">
        <v>9</v>
      </c>
      <c r="C51" s="14" t="s">
        <v>125</v>
      </c>
      <c r="D51" s="14"/>
    </row>
    <row r="52" spans="1:4" ht="40.5" x14ac:dyDescent="0.2">
      <c r="A52" s="6" t="s">
        <v>44</v>
      </c>
      <c r="B52" s="6">
        <v>3</v>
      </c>
      <c r="C52" s="14" t="s">
        <v>126</v>
      </c>
      <c r="D52" s="14"/>
    </row>
    <row r="53" spans="1:4" ht="67.5" x14ac:dyDescent="0.2">
      <c r="A53" s="6" t="s">
        <v>44</v>
      </c>
      <c r="B53" s="6">
        <v>12</v>
      </c>
      <c r="C53" s="14" t="s">
        <v>127</v>
      </c>
      <c r="D53" s="14"/>
    </row>
    <row r="54" spans="1:4" ht="81" x14ac:dyDescent="0.2">
      <c r="A54" s="78" t="s">
        <v>44</v>
      </c>
      <c r="B54" s="78">
        <v>9</v>
      </c>
      <c r="C54" s="79" t="s">
        <v>128</v>
      </c>
      <c r="D54" s="79"/>
    </row>
    <row r="55" spans="1:4" ht="13.5" x14ac:dyDescent="0.2">
      <c r="A55" s="78" t="s">
        <v>36</v>
      </c>
      <c r="B55" s="78">
        <v>3</v>
      </c>
      <c r="C55" s="79" t="s">
        <v>129</v>
      </c>
      <c r="D55" s="79"/>
    </row>
    <row r="56" spans="1:4" ht="14.25" thickBot="1" x14ac:dyDescent="0.25">
      <c r="A56" s="7"/>
      <c r="B56" s="7"/>
      <c r="C56" s="15"/>
      <c r="D56" s="15"/>
    </row>
    <row r="57" spans="1:4" ht="14.25" thickBot="1" x14ac:dyDescent="0.25">
      <c r="A57" s="75" t="s">
        <v>22</v>
      </c>
      <c r="B57" s="75">
        <f>SUM(B42:B56)</f>
        <v>108</v>
      </c>
      <c r="C57" s="111" t="s">
        <v>61</v>
      </c>
      <c r="D57" s="76"/>
    </row>
    <row r="58" spans="1:4" ht="15" thickBot="1" x14ac:dyDescent="0.35">
      <c r="A58" s="77"/>
      <c r="B58" s="77"/>
      <c r="C58" s="77"/>
      <c r="D58" s="77"/>
    </row>
    <row r="59" spans="1:4" ht="18.75" thickBot="1" x14ac:dyDescent="0.25">
      <c r="A59" s="70" t="s">
        <v>14</v>
      </c>
      <c r="B59" s="71">
        <v>4</v>
      </c>
      <c r="C59" s="72" t="s">
        <v>23</v>
      </c>
      <c r="D59" s="81">
        <v>42156</v>
      </c>
    </row>
    <row r="60" spans="1:4" ht="27.75" thickBot="1" x14ac:dyDescent="0.25">
      <c r="A60" s="73" t="s">
        <v>3</v>
      </c>
      <c r="B60" s="74" t="s">
        <v>15</v>
      </c>
      <c r="C60" s="73" t="s">
        <v>7</v>
      </c>
      <c r="D60" s="73" t="s">
        <v>13</v>
      </c>
    </row>
    <row r="61" spans="1:4" ht="67.5" x14ac:dyDescent="0.2">
      <c r="A61" s="9" t="s">
        <v>44</v>
      </c>
      <c r="B61" s="8">
        <v>15</v>
      </c>
      <c r="C61" s="13" t="s">
        <v>130</v>
      </c>
      <c r="D61" s="13"/>
    </row>
    <row r="62" spans="1:4" ht="40.5" x14ac:dyDescent="0.2">
      <c r="A62" s="5" t="s">
        <v>44</v>
      </c>
      <c r="B62" s="6">
        <v>9</v>
      </c>
      <c r="C62" s="14" t="s">
        <v>131</v>
      </c>
      <c r="D62" s="14"/>
    </row>
    <row r="63" spans="1:4" ht="40.5" x14ac:dyDescent="0.2">
      <c r="A63" s="5" t="s">
        <v>44</v>
      </c>
      <c r="B63" s="6">
        <v>12</v>
      </c>
      <c r="C63" s="14" t="s">
        <v>132</v>
      </c>
      <c r="D63" s="14"/>
    </row>
    <row r="64" spans="1:4" ht="81" x14ac:dyDescent="0.2">
      <c r="A64" s="5" t="s">
        <v>44</v>
      </c>
      <c r="B64" s="6">
        <v>12</v>
      </c>
      <c r="C64" s="14" t="s">
        <v>133</v>
      </c>
      <c r="D64" s="14"/>
    </row>
    <row r="65" spans="1:4" ht="54" x14ac:dyDescent="0.2">
      <c r="A65" s="5" t="s">
        <v>44</v>
      </c>
      <c r="B65" s="6">
        <v>6</v>
      </c>
      <c r="C65" s="14" t="s">
        <v>134</v>
      </c>
      <c r="D65" s="14"/>
    </row>
    <row r="66" spans="1:4" ht="40.5" x14ac:dyDescent="0.2">
      <c r="A66" s="5" t="s">
        <v>36</v>
      </c>
      <c r="B66" s="6">
        <v>6</v>
      </c>
      <c r="C66" s="14" t="s">
        <v>135</v>
      </c>
      <c r="D66" s="14"/>
    </row>
    <row r="67" spans="1:4" ht="27" x14ac:dyDescent="0.2">
      <c r="A67" s="5" t="s">
        <v>36</v>
      </c>
      <c r="B67" s="6">
        <v>6</v>
      </c>
      <c r="C67" s="14" t="s">
        <v>136</v>
      </c>
      <c r="D67" s="14"/>
    </row>
    <row r="68" spans="1:4" ht="13.5" x14ac:dyDescent="0.2">
      <c r="A68" s="5" t="s">
        <v>36</v>
      </c>
      <c r="B68" s="6">
        <v>6</v>
      </c>
      <c r="C68" s="14" t="s">
        <v>137</v>
      </c>
      <c r="D68" s="14"/>
    </row>
    <row r="69" spans="1:4" ht="13.5" x14ac:dyDescent="0.2">
      <c r="A69" s="5" t="s">
        <v>36</v>
      </c>
      <c r="B69" s="6">
        <v>11</v>
      </c>
      <c r="C69" s="14" t="s">
        <v>138</v>
      </c>
      <c r="D69" s="14"/>
    </row>
    <row r="70" spans="1:4" ht="40.5" x14ac:dyDescent="0.2">
      <c r="A70" s="6" t="s">
        <v>44</v>
      </c>
      <c r="B70" s="6">
        <v>1</v>
      </c>
      <c r="C70" s="14" t="s">
        <v>139</v>
      </c>
      <c r="D70" s="14"/>
    </row>
    <row r="71" spans="1:4" ht="13.5" x14ac:dyDescent="0.2">
      <c r="A71" s="6" t="s">
        <v>36</v>
      </c>
      <c r="B71" s="6">
        <v>6</v>
      </c>
      <c r="C71" s="14" t="s">
        <v>140</v>
      </c>
      <c r="D71" s="14"/>
    </row>
    <row r="72" spans="1:4" ht="13.5" x14ac:dyDescent="0.2">
      <c r="A72" s="6" t="s">
        <v>36</v>
      </c>
      <c r="B72" s="6">
        <v>6</v>
      </c>
      <c r="C72" s="14" t="s">
        <v>141</v>
      </c>
      <c r="D72" s="14"/>
    </row>
    <row r="73" spans="1:4" ht="13.5" x14ac:dyDescent="0.2">
      <c r="A73" s="78" t="s">
        <v>36</v>
      </c>
      <c r="B73" s="78">
        <v>12</v>
      </c>
      <c r="C73" s="79" t="s">
        <v>142</v>
      </c>
      <c r="D73" s="79"/>
    </row>
    <row r="74" spans="1:4" ht="13.5" x14ac:dyDescent="0.2">
      <c r="A74" s="78"/>
      <c r="B74" s="78"/>
      <c r="C74" s="79"/>
      <c r="D74" s="79"/>
    </row>
    <row r="75" spans="1:4" ht="14.25" thickBot="1" x14ac:dyDescent="0.25">
      <c r="A75" s="7"/>
      <c r="B75" s="7"/>
      <c r="C75" s="15"/>
      <c r="D75" s="15"/>
    </row>
    <row r="76" spans="1:4" ht="14.25" thickBot="1" x14ac:dyDescent="0.25">
      <c r="A76" s="75" t="s">
        <v>22</v>
      </c>
      <c r="B76" s="75">
        <f>SUM(B61:B75)</f>
        <v>108</v>
      </c>
      <c r="C76" s="111" t="s">
        <v>61</v>
      </c>
      <c r="D76" s="76"/>
    </row>
    <row r="77" spans="1:4" ht="15" thickBot="1" x14ac:dyDescent="0.35">
      <c r="A77" s="77"/>
      <c r="B77" s="77"/>
      <c r="C77" s="77"/>
      <c r="D77" s="77"/>
    </row>
    <row r="78" spans="1:4" ht="18.75" thickBot="1" x14ac:dyDescent="0.25">
      <c r="A78" s="70" t="s">
        <v>14</v>
      </c>
      <c r="B78" s="71">
        <v>5</v>
      </c>
      <c r="C78" s="72" t="s">
        <v>23</v>
      </c>
      <c r="D78" s="81">
        <v>42163</v>
      </c>
    </row>
    <row r="79" spans="1:4" ht="27.75" thickBot="1" x14ac:dyDescent="0.25">
      <c r="A79" s="73" t="s">
        <v>3</v>
      </c>
      <c r="B79" s="74" t="s">
        <v>15</v>
      </c>
      <c r="C79" s="73" t="s">
        <v>7</v>
      </c>
      <c r="D79" s="73" t="s">
        <v>13</v>
      </c>
    </row>
    <row r="80" spans="1:4" ht="27" x14ac:dyDescent="0.2">
      <c r="A80" s="9" t="s">
        <v>36</v>
      </c>
      <c r="B80" s="8">
        <v>24</v>
      </c>
      <c r="C80" s="14" t="s">
        <v>83</v>
      </c>
      <c r="D80" s="13"/>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5"/>
      <c r="B88" s="6"/>
      <c r="C88" s="14"/>
      <c r="D88" s="14"/>
    </row>
    <row r="89" spans="1:4" ht="13.5" x14ac:dyDescent="0.2">
      <c r="A89" s="6"/>
      <c r="B89" s="6"/>
      <c r="C89" s="14"/>
      <c r="D89" s="14"/>
    </row>
    <row r="90" spans="1:4" ht="13.5" x14ac:dyDescent="0.2">
      <c r="A90" s="6"/>
      <c r="B90" s="6"/>
      <c r="C90" s="14"/>
      <c r="D90" s="14"/>
    </row>
    <row r="91" spans="1:4" ht="13.5" x14ac:dyDescent="0.2">
      <c r="A91" s="6"/>
      <c r="B91" s="6"/>
      <c r="C91" s="14"/>
      <c r="D91" s="14"/>
    </row>
    <row r="92" spans="1:4" ht="13.5" x14ac:dyDescent="0.2">
      <c r="A92" s="78"/>
      <c r="B92" s="78"/>
      <c r="C92" s="79"/>
      <c r="D92" s="79"/>
    </row>
    <row r="93" spans="1:4" ht="13.5" x14ac:dyDescent="0.2">
      <c r="A93" s="78"/>
      <c r="B93" s="78"/>
      <c r="C93" s="79"/>
      <c r="D93" s="79"/>
    </row>
    <row r="94" spans="1:4" ht="14.25" thickBot="1" x14ac:dyDescent="0.25">
      <c r="A94" s="7" t="s">
        <v>21</v>
      </c>
      <c r="B94" s="7">
        <v>84</v>
      </c>
      <c r="C94" s="15" t="s">
        <v>58</v>
      </c>
      <c r="D94" s="15"/>
    </row>
    <row r="95" spans="1:4" ht="14.25" thickBot="1" x14ac:dyDescent="0.25">
      <c r="A95" s="75" t="s">
        <v>22</v>
      </c>
      <c r="B95" s="75">
        <f>SUM(B80:B94)</f>
        <v>108</v>
      </c>
      <c r="C95" s="111" t="s">
        <v>61</v>
      </c>
      <c r="D95" s="76"/>
    </row>
    <row r="96" spans="1:4" ht="14.25" x14ac:dyDescent="0.3">
      <c r="A96" s="77"/>
      <c r="B96" s="77"/>
      <c r="C96" s="77"/>
      <c r="D96" s="77"/>
    </row>
    <row r="97" spans="1:1" x14ac:dyDescent="0.2">
      <c r="A97" s="105" t="s">
        <v>53</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F36">
      <formula1>0</formula1>
      <formula2>DureePeriode-1</formula2>
    </dataValidation>
    <dataValidation type="whole" errorStyle="warning" operator="greaterThan" allowBlank="1" showInputMessage="1" showErrorMessage="1" errorTitle="Durée en 1/3 de période" error="Le nombre doit être de type entier" sqref="F27:F34 B3:B17 B80:B94 B42:B56 B61:B75 B22:B3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8 B57 B76 B95">
      <formula1>0</formula1>
      <formula2>NbPerWeek * NbQuartPer</formula2>
    </dataValidation>
    <dataValidation type="list" allowBlank="1" showInputMessage="1" showErrorMessage="1" sqref="A3:A17 A80:A94 A42:A56 A61:A75 A22:A37">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017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50177"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JNLTRAV!_Toc165969654</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Rémi Jacquemard</dc:creator>
  <cp:lastModifiedBy>Rémi Jacquemard</cp:lastModifiedBy>
  <cp:lastPrinted>2015-06-08T06:26:37Z</cp:lastPrinted>
  <dcterms:created xsi:type="dcterms:W3CDTF">1996-10-21T11:03:58Z</dcterms:created>
  <dcterms:modified xsi:type="dcterms:W3CDTF">2015-06-08T06:27:08Z</dcterms:modified>
  <cp:contentStatus>Version 8.0</cp:contentStatus>
</cp:coreProperties>
</file>